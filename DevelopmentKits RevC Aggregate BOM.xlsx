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v C Aggregate Mating" sheetId="1" r:id="rId4"/>
    <sheet state="visible" name="PM" sheetId="2" r:id="rId5"/>
    <sheet state="visible" name="PG" sheetId="3" r:id="rId6"/>
    <sheet state="visible" name="BP" sheetId="4"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Y54">
      <text>
        <t xml:space="preserve">Ordered 20
	-Daniel Romano</t>
      </text>
    </comment>
    <comment authorId="0" ref="Y53">
      <text>
        <t xml:space="preserve">Ordered 20
	-Daniel Romano</t>
      </text>
    </comment>
    <comment authorId="0" ref="Y52">
      <text>
        <t xml:space="preserve">Ordered 20
	-Daniel Romano</t>
      </text>
    </comment>
    <comment authorId="0" ref="Y51">
      <text>
        <t xml:space="preserve">Ordered 20
	-Daniel Romano</t>
      </text>
    </comment>
    <comment authorId="0" ref="Y50">
      <text>
        <t xml:space="preserve">Had to order in multiples of 10, so ordered 20
	-Daniel Romano</t>
      </text>
    </comment>
    <comment authorId="0" ref="Y18">
      <text>
        <t xml:space="preserve">Ordered S2B-PH-K-S, it should be the same part
	-Daniel Romano</t>
      </text>
    </comment>
    <comment authorId="0" ref="L21">
      <text>
        <t xml:space="preserve">May need to find new manufacturer
	-Daniel Romano</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9">
      <text>
        <t xml:space="preserve">May need to find new manufacturer
	-Daniel Romano</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F8">
      <text>
        <t xml:space="preserve">May need to find new manufacturer
	-Daniel Romano</t>
      </text>
    </comment>
  </commentList>
</comments>
</file>

<file path=xl/sharedStrings.xml><?xml version="1.0" encoding="utf-8"?>
<sst xmlns="http://schemas.openxmlformats.org/spreadsheetml/2006/main" count="1061" uniqueCount="253">
  <si>
    <t xml:space="preserve">Order Quantities </t>
  </si>
  <si>
    <t>Item</t>
  </si>
  <si>
    <t>PM Item #</t>
  </si>
  <si>
    <t>PM Qty</t>
  </si>
  <si>
    <t>PG Item #</t>
  </si>
  <si>
    <t>PG Qty</t>
  </si>
  <si>
    <t>BP Item #</t>
  </si>
  <si>
    <t>BP Qty</t>
  </si>
  <si>
    <t>Ttl Qty</t>
  </si>
  <si>
    <t>Reference</t>
  </si>
  <si>
    <t>Part</t>
  </si>
  <si>
    <t>Description</t>
  </si>
  <si>
    <t>Manuf</t>
  </si>
  <si>
    <t>Part #</t>
  </si>
  <si>
    <t>Dist</t>
  </si>
  <si>
    <t>Dist #</t>
  </si>
  <si>
    <t>PM</t>
  </si>
  <si>
    <t>PG</t>
  </si>
  <si>
    <t>BP</t>
  </si>
  <si>
    <t>Total Qty</t>
  </si>
  <si>
    <t>PM Frame Board</t>
  </si>
  <si>
    <t xml:space="preserve">PM Circuit, fully fabricated </t>
  </si>
  <si>
    <t xml:space="preserve">PG Frame Board </t>
  </si>
  <si>
    <t>PG Circuit, fully fabricated</t>
  </si>
  <si>
    <t>BP Frame Board</t>
  </si>
  <si>
    <t xml:space="preserve">BP Circuit, fully fabricated </t>
  </si>
  <si>
    <t>JP202, JP208</t>
  </si>
  <si>
    <t>HEADER 2</t>
  </si>
  <si>
    <t>CONN HEADER R/A 2POS 2MM</t>
  </si>
  <si>
    <t>Molex</t>
  </si>
  <si>
    <t>53254-0270</t>
  </si>
  <si>
    <t>Digikey</t>
  </si>
  <si>
    <t>WM18999</t>
  </si>
  <si>
    <t>JP501, JP502, JP503, JP504, JP505</t>
  </si>
  <si>
    <t>HEADER 2x2</t>
  </si>
  <si>
    <t>CONN HEADER R/A 4POS 2.54MM</t>
  </si>
  <si>
    <t>Samtec</t>
  </si>
  <si>
    <t>TSW-102-08-F-D-RA</t>
  </si>
  <si>
    <t>JP601</t>
  </si>
  <si>
    <t>DIPSOC-9x2_1</t>
  </si>
  <si>
    <t>CONN IC DIP SOCKET 18POS GOLD</t>
  </si>
  <si>
    <t>Mill-Max</t>
  </si>
  <si>
    <t>115-43-318-41-003000</t>
  </si>
  <si>
    <t>ED90211</t>
  </si>
  <si>
    <t>J101, J102, J104, J105, J106, J107, JP203 female receptacle</t>
  </si>
  <si>
    <t>CONN RCPT 1</t>
  </si>
  <si>
    <t>SLW-101-01-F-S</t>
  </si>
  <si>
    <t>J101</t>
  </si>
  <si>
    <t>CONN 13x2</t>
  </si>
  <si>
    <t>TLW-113-06-F-D</t>
  </si>
  <si>
    <t>J103 male connector</t>
  </si>
  <si>
    <t>CONN 18x2</t>
  </si>
  <si>
    <t>TLW-118-06-F-D</t>
  </si>
  <si>
    <t>J201</t>
  </si>
  <si>
    <t>CONN RCPT 5</t>
  </si>
  <si>
    <t>CONN HEADER R/A 5POS 2MM</t>
  </si>
  <si>
    <t>53254-0570</t>
  </si>
  <si>
    <t>WM19002</t>
  </si>
  <si>
    <t>J301, J302, J303</t>
  </si>
  <si>
    <t>CONN PLUG BATT</t>
  </si>
  <si>
    <t>CONN HEADER PH SIDE 2POS 2MM</t>
  </si>
  <si>
    <t>JST</t>
  </si>
  <si>
    <t>S2B-PH-KL</t>
  </si>
  <si>
    <t>455-1719</t>
  </si>
  <si>
    <t>J301</t>
  </si>
  <si>
    <t>CONN HEADER R/A 5POS 2.54MM</t>
  </si>
  <si>
    <t>TE</t>
  </si>
  <si>
    <t>2-644803-5</t>
  </si>
  <si>
    <t>A30927</t>
  </si>
  <si>
    <t>J304</t>
  </si>
  <si>
    <t>CONN PLUG 6</t>
  </si>
  <si>
    <t>CONN HEADER R/A 6POS 2.54MM</t>
  </si>
  <si>
    <t>2-644803-6</t>
  </si>
  <si>
    <t>A30928</t>
  </si>
  <si>
    <t>J302, J303, J304, J305</t>
  </si>
  <si>
    <t>CONN TPRCPT 1</t>
  </si>
  <si>
    <t>Red</t>
  </si>
  <si>
    <t>PlasticsOne</t>
  </si>
  <si>
    <t>41829-50</t>
  </si>
  <si>
    <t>J306</t>
  </si>
  <si>
    <t>Black</t>
  </si>
  <si>
    <t>Green</t>
  </si>
  <si>
    <t>J309</t>
  </si>
  <si>
    <t>CONN PCB 5x2-P</t>
  </si>
  <si>
    <t>CONN HEADER LOPRO R/A 10POS GOLD</t>
  </si>
  <si>
    <t>5103311-1</t>
  </si>
  <si>
    <t>A33180</t>
  </si>
  <si>
    <t>J310</t>
  </si>
  <si>
    <t>CONN RCPT 3</t>
  </si>
  <si>
    <t>TSW-103-08-F-S-RA</t>
  </si>
  <si>
    <t>J501, J503 male/female jumpers</t>
  </si>
  <si>
    <t>CONN RCPT 2</t>
  </si>
  <si>
    <t>SSQ-102-03-F-S</t>
  </si>
  <si>
    <t>J502, J504 male/female jumpers</t>
  </si>
  <si>
    <t>CONN RCPT 2x2</t>
  </si>
  <si>
    <t>SSQ-102-03-F-D</t>
  </si>
  <si>
    <t>J601</t>
  </si>
  <si>
    <t>CONN PLUG 10x2</t>
  </si>
  <si>
    <t>CONN HEADER LOPRO R/A 20POS GOLD</t>
  </si>
  <si>
    <t>5103311-5</t>
  </si>
  <si>
    <t>A97487</t>
  </si>
  <si>
    <t>J602 male connector</t>
  </si>
  <si>
    <t>CON4</t>
  </si>
  <si>
    <t>TSW-104-08-F-S-RA</t>
  </si>
  <si>
    <t>SW601, SW602 switches</t>
  </si>
  <si>
    <t>SW SPDT</t>
  </si>
  <si>
    <t>SWITCH TOGGLE SPDT 0.4VA 20V</t>
  </si>
  <si>
    <t>E Switch</t>
  </si>
  <si>
    <t>200USP1T1A1M6RE</t>
  </si>
  <si>
    <t>EG4912</t>
  </si>
  <si>
    <t>D601, D603, D605, D607</t>
  </si>
  <si>
    <t>LED</t>
  </si>
  <si>
    <t>LED GREEN</t>
  </si>
  <si>
    <t>QTB</t>
  </si>
  <si>
    <t>QBL7IG60D</t>
  </si>
  <si>
    <t>1516-1350-ND</t>
  </si>
  <si>
    <t>D602, D604, D606, D608</t>
  </si>
  <si>
    <t>1N4148</t>
  </si>
  <si>
    <t>DIODE GEN PURP 100V 300MA SOD123</t>
  </si>
  <si>
    <t>Diodes Inc</t>
  </si>
  <si>
    <t>1N4148W-7-F</t>
  </si>
  <si>
    <t>1N4148W-FDICT</t>
  </si>
  <si>
    <t>1/8" Screw</t>
  </si>
  <si>
    <t>4-40 1/8 PAN</t>
  </si>
  <si>
    <t>M42PPM1</t>
  </si>
  <si>
    <t>McMaster</t>
  </si>
  <si>
    <t>3/16" Screw</t>
  </si>
  <si>
    <t>4-40 3/16 PAN</t>
  </si>
  <si>
    <t>M43PPM1</t>
  </si>
  <si>
    <t>3/16" Standoff</t>
  </si>
  <si>
    <t>HEX STANDOFF #4-40 ALUM 3/16"</t>
  </si>
  <si>
    <t>RAF</t>
  </si>
  <si>
    <t>4500-440-AL</t>
  </si>
  <si>
    <t>DigiKey</t>
  </si>
  <si>
    <t>1772-1216-ND</t>
  </si>
  <si>
    <t>1/4" Standoff</t>
  </si>
  <si>
    <t>HEX STANDOFF #4-40 ALUMINUM 1/4"</t>
  </si>
  <si>
    <t>2053-440-AL-7</t>
  </si>
  <si>
    <t>1772-1983-ND</t>
  </si>
  <si>
    <t>JP202, JP208 mate shell</t>
  </si>
  <si>
    <t>WM19009-ND</t>
  </si>
  <si>
    <t xml:space="preserve">JP202 mate </t>
  </si>
  <si>
    <t>PRECRIMP BLACK</t>
  </si>
  <si>
    <t>0502128000-04-B4</t>
  </si>
  <si>
    <t>0502128000-04-B4-ND</t>
  </si>
  <si>
    <t>PRECRIMP WHITE</t>
  </si>
  <si>
    <t>0502128000-04-W4</t>
  </si>
  <si>
    <t>0502128000-04-W4-ND</t>
  </si>
  <si>
    <t xml:space="preserve">JP208 mate </t>
  </si>
  <si>
    <t>PRECRIMP YELLOW</t>
  </si>
  <si>
    <t>0502128000-04-Y4</t>
  </si>
  <si>
    <t>0502128000-04-Y4-ND</t>
  </si>
  <si>
    <t>PRECRIMP ORANGE</t>
  </si>
  <si>
    <t>0502128000-04-A4</t>
  </si>
  <si>
    <t>0502128000-04-A4-ND</t>
  </si>
  <si>
    <t>JP501 network jumper</t>
  </si>
  <si>
    <t>JUMPER 2x2</t>
  </si>
  <si>
    <t>CONN SHUNT 4POS</t>
  </si>
  <si>
    <t>MNT-102-BK-T</t>
  </si>
  <si>
    <t>SAM10619-ND</t>
  </si>
  <si>
    <t>J101, J102, J104, J105, J106, J107, JP203 male connector</t>
  </si>
  <si>
    <t>CONN 1</t>
  </si>
  <si>
    <t>TLW-101-06-F-S</t>
  </si>
  <si>
    <t>J103 female receptacle</t>
  </si>
  <si>
    <t>CONN RCPT 18x2</t>
  </si>
  <si>
    <t>SLW-118-01-F-D</t>
  </si>
  <si>
    <t>Batteries J301, J302, J303 mates</t>
  </si>
  <si>
    <t>Resistor Carrier</t>
  </si>
  <si>
    <t>Resistors</t>
  </si>
  <si>
    <t>J101 mate</t>
  </si>
  <si>
    <t>CONN RCPT 13x2</t>
  </si>
  <si>
    <t>SLW-113-01-F-D</t>
  </si>
  <si>
    <t>J201 mate shell</t>
  </si>
  <si>
    <t>CONN SHELLS</t>
  </si>
  <si>
    <t>WM19012-ND</t>
  </si>
  <si>
    <t>J201 mate</t>
  </si>
  <si>
    <t>0502128000-04-Y8</t>
  </si>
  <si>
    <t>0502128000-04-Y8-ND</t>
  </si>
  <si>
    <t>PRECRIMP BLUE</t>
  </si>
  <si>
    <t>0502128000-04-L8</t>
  </si>
  <si>
    <t>0502128000-04-L8-ND</t>
  </si>
  <si>
    <t>0502128000-04-W8</t>
  </si>
  <si>
    <t>0502128000-04-W8-ND</t>
  </si>
  <si>
    <t>0502128000-04-B8</t>
  </si>
  <si>
    <t>0502128000-04-B8-ND</t>
  </si>
  <si>
    <t>PRECRIMP RED</t>
  </si>
  <si>
    <t>0502128000-04-R8</t>
  </si>
  <si>
    <t>0502128000-04-R8-ND</t>
  </si>
  <si>
    <t>Qty</t>
  </si>
  <si>
    <t>Order</t>
  </si>
  <si>
    <t>Footprint</t>
  </si>
  <si>
    <t>Notes</t>
  </si>
  <si>
    <t>Frame board, unpopulated</t>
  </si>
  <si>
    <t>CON2_S2B-PH-KL</t>
  </si>
  <si>
    <t>JP501, JP501, JP503, JP504</t>
  </si>
  <si>
    <t>CON4_2X2_TR_TSW_JRB</t>
  </si>
  <si>
    <t>CON1_1X1_TU_SSQ</t>
  </si>
  <si>
    <t>CON36_2X18_TU_SSQ</t>
  </si>
  <si>
    <t>CON6_1X6_TR_TSW</t>
  </si>
  <si>
    <t>CON2_1X2_TU_SSQ</t>
  </si>
  <si>
    <t>CONN RCPT 4POS 0.1 GOLD PCB</t>
  </si>
  <si>
    <t>CON4_2X2_TU_SSQ</t>
  </si>
  <si>
    <t>CONN_5103311-5</t>
  </si>
  <si>
    <t>CON4_1X4_TR_TSW</t>
  </si>
  <si>
    <t>4 pins to ground</t>
  </si>
  <si>
    <t>SW_200USP1T1AM6RE</t>
  </si>
  <si>
    <t>Used in 4 corners of board bottom-surface for stacking support</t>
  </si>
  <si>
    <t>Used in 4 corners of board top-surface for stacking support, and on 4 corners holding the moule circuit board</t>
  </si>
  <si>
    <t>PM Circuit Board, fully fabricated</t>
  </si>
  <si>
    <t>CONN SHELL</t>
  </si>
  <si>
    <t>Additional Pieces that can be added</t>
  </si>
  <si>
    <t>J401</t>
  </si>
  <si>
    <t>CONN RCPT 30x2</t>
  </si>
  <si>
    <t>CONN HEADER LOPRO R/A</t>
  </si>
  <si>
    <t>1-5103311-2</t>
  </si>
  <si>
    <t>A108986</t>
  </si>
  <si>
    <t>CONN_1-5103311-2</t>
  </si>
  <si>
    <t>JP205</t>
  </si>
  <si>
    <t>HEADER 18X2</t>
  </si>
  <si>
    <t>TSW-118-07-G-D</t>
  </si>
  <si>
    <t>JP502,JP503,JP504</t>
  </si>
  <si>
    <t>JUMPER 2X2</t>
  </si>
  <si>
    <t>CONN SHUNT 4POS,</t>
  </si>
  <si>
    <t>This jumper needs to be in place at the same JP501 header (item 4) on each connected board in order for the network to be connected. Boards will be delivered with this part at JP501 on all module types</t>
  </si>
  <si>
    <t>Part#</t>
  </si>
  <si>
    <t>Unit</t>
  </si>
  <si>
    <t>Total</t>
  </si>
  <si>
    <t>SOD123</t>
  </si>
  <si>
    <t>DIP18_3</t>
  </si>
  <si>
    <t>CON26_2X13_TU_SSQ</t>
  </si>
  <si>
    <t>CON5_1X5_TR_TSW</t>
  </si>
  <si>
    <t>CON1_PO_41829-50</t>
  </si>
  <si>
    <t>CONN_5103311-1</t>
  </si>
  <si>
    <t>J501, J503</t>
  </si>
  <si>
    <t>J502, J504</t>
  </si>
  <si>
    <t>J602</t>
  </si>
  <si>
    <t>SW601</t>
  </si>
  <si>
    <t>PG4 Circuit Board, fully fabricated</t>
  </si>
  <si>
    <t>Additional unpopulated pieces that can be added by user</t>
  </si>
  <si>
    <t>JP201</t>
  </si>
  <si>
    <t>HEADER 13X2</t>
  </si>
  <si>
    <t>TSW-113-07-G-D</t>
  </si>
  <si>
    <t>JP401,JP402,JP403,JP404,JP405,JP406,JP407,JP408</t>
  </si>
  <si>
    <t>HEADER 1</t>
  </si>
  <si>
    <t>CON1_1X1_TU_TSW</t>
  </si>
  <si>
    <t>J505,J506,J507,J508</t>
  </si>
  <si>
    <t>J106</t>
  </si>
  <si>
    <t>CON5_S5B-PH-KL</t>
  </si>
  <si>
    <t>J302, J304</t>
  </si>
  <si>
    <t>J303, J305</t>
  </si>
  <si>
    <t>CON3_1X3_TR_TSW</t>
  </si>
  <si>
    <t>BP2 Circuit Board, fully fabricated</t>
  </si>
  <si>
    <t>J106 mate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</si>
</sst>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
    <numFmt numFmtId="165" formatCode="&quot;$&quot;#,##0.00"/>
  </numFmts>
  <fonts count="11">
    <font>
      <sz val="10.0"/>
      <color rgb="FF000000"/>
      <name val="Arial"/>
      <scheme val="minor"/>
    </font>
    <font>
      <color theme="1"/>
      <name val="Arial"/>
      <scheme val="minor"/>
    </font>
    <font>
      <sz val="11.0"/>
      <color rgb="FF000000"/>
      <name val="Calibri"/>
    </font>
    <font>
      <sz val="11.0"/>
      <color theme="1"/>
      <name val="Calibri"/>
    </font>
    <font>
      <color theme="1"/>
      <name val="Arial"/>
    </font>
    <font>
      <sz val="9.0"/>
      <color rgb="FF444444"/>
      <name val="Arial"/>
    </font>
    <font>
      <b/>
      <sz val="11.0"/>
      <color rgb="FF000000"/>
      <name val="Calibri"/>
    </font>
    <font>
      <color rgb="FF000000"/>
      <name val="Arial"/>
      <scheme val="minor"/>
    </font>
    <font>
      <strike/>
      <sz val="11.0"/>
      <color rgb="FF000000"/>
      <name val="Calibri"/>
    </font>
    <font>
      <b/>
      <sz val="13.0"/>
      <color rgb="FFFFFFFF"/>
      <name val="Calibri"/>
    </font>
    <font>
      <sz val="11.0"/>
      <color rgb="FF333333"/>
      <name val="Calibri"/>
    </font>
  </fonts>
  <fills count="15">
    <fill>
      <patternFill patternType="none"/>
    </fill>
    <fill>
      <patternFill patternType="lightGray"/>
    </fill>
    <fill>
      <patternFill patternType="solid">
        <fgColor rgb="FFCFE2F3"/>
        <bgColor rgb="FFCFE2F3"/>
      </patternFill>
    </fill>
    <fill>
      <patternFill patternType="solid">
        <fgColor rgb="FF9FC5E8"/>
        <bgColor rgb="FF9FC5E8"/>
      </patternFill>
    </fill>
    <fill>
      <patternFill patternType="solid">
        <fgColor rgb="FFD9D2E9"/>
        <bgColor rgb="FFD9D2E9"/>
      </patternFill>
    </fill>
    <fill>
      <patternFill patternType="solid">
        <fgColor rgb="FFB4A7D6"/>
        <bgColor rgb="FFB4A7D6"/>
      </patternFill>
    </fill>
    <fill>
      <patternFill patternType="solid">
        <fgColor rgb="FFEAD1DC"/>
        <bgColor rgb="FFEAD1DC"/>
      </patternFill>
    </fill>
    <fill>
      <patternFill patternType="solid">
        <fgColor rgb="FFD5A6BD"/>
        <bgColor rgb="FFD5A6BD"/>
      </patternFill>
    </fill>
    <fill>
      <patternFill patternType="solid">
        <fgColor rgb="FFFFF2CC"/>
        <bgColor rgb="FFFFF2CC"/>
      </patternFill>
    </fill>
    <fill>
      <patternFill patternType="solid">
        <fgColor rgb="FF000000"/>
        <bgColor rgb="FF000000"/>
      </patternFill>
    </fill>
    <fill>
      <patternFill patternType="solid">
        <fgColor rgb="FFD9EAD3"/>
        <bgColor rgb="FFD9EAD3"/>
      </patternFill>
    </fill>
    <fill>
      <patternFill patternType="solid">
        <fgColor rgb="FFD0E0E3"/>
        <bgColor rgb="FFD0E0E3"/>
      </patternFill>
    </fill>
    <fill>
      <patternFill patternType="solid">
        <fgColor rgb="FFC9DAF8"/>
        <bgColor rgb="FFC9DAF8"/>
      </patternFill>
    </fill>
    <fill>
      <patternFill patternType="solid">
        <fgColor rgb="FFFFFFFF"/>
        <bgColor rgb="FFFFFFFF"/>
      </patternFill>
    </fill>
    <fill>
      <patternFill patternType="solid">
        <fgColor theme="7"/>
        <bgColor theme="7"/>
      </patternFill>
    </fill>
  </fills>
  <borders count="1">
    <border/>
  </borders>
  <cellStyleXfs count="1">
    <xf borderId="0" fillId="0" fontId="0" numFmtId="0" applyAlignment="1" applyFont="1"/>
  </cellStyleXfs>
  <cellXfs count="85">
    <xf borderId="0" fillId="0" fontId="0" numFmtId="0" xfId="0" applyAlignment="1" applyFont="1">
      <alignment readingOrder="0" shrinkToFit="0" vertical="bottom" wrapText="0"/>
    </xf>
    <xf borderId="0" fillId="2" fontId="1" numFmtId="0" xfId="0" applyFill="1" applyFont="1"/>
    <xf borderId="0" fillId="3" fontId="1" numFmtId="0" xfId="0" applyFill="1" applyFont="1"/>
    <xf borderId="0" fillId="4" fontId="1" numFmtId="0" xfId="0" applyFill="1" applyFont="1"/>
    <xf borderId="0" fillId="5" fontId="1" numFmtId="0" xfId="0" applyFill="1" applyFont="1"/>
    <xf borderId="0" fillId="6" fontId="1" numFmtId="0" xfId="0" applyFill="1" applyFont="1"/>
    <xf borderId="0" fillId="7" fontId="1" numFmtId="0" xfId="0" applyFill="1" applyFont="1"/>
    <xf borderId="0" fillId="8" fontId="1" numFmtId="0" xfId="0" applyFill="1" applyFont="1"/>
    <xf borderId="0" fillId="9" fontId="1" numFmtId="0" xfId="0" applyFill="1" applyFont="1"/>
    <xf borderId="0" fillId="0" fontId="1" numFmtId="0" xfId="0" applyAlignment="1" applyFont="1">
      <alignment horizontal="center"/>
    </xf>
    <xf borderId="0" fillId="0" fontId="1" numFmtId="0" xfId="0" applyAlignment="1" applyFont="1">
      <alignment readingOrder="0"/>
    </xf>
    <xf borderId="0" fillId="8" fontId="1" numFmtId="0" xfId="0" applyAlignment="1" applyFont="1">
      <alignment horizontal="center" readingOrder="0"/>
    </xf>
    <xf borderId="0" fillId="0" fontId="2" numFmtId="0" xfId="0" applyAlignment="1" applyFont="1">
      <alignment horizontal="center" readingOrder="0" shrinkToFit="0" vertical="bottom" wrapText="0"/>
    </xf>
    <xf borderId="0" fillId="2" fontId="2" numFmtId="0" xfId="0" applyAlignment="1" applyFont="1">
      <alignment horizontal="center" readingOrder="0" shrinkToFit="0" vertical="bottom" wrapText="0"/>
    </xf>
    <xf borderId="0" fillId="3" fontId="2" numFmtId="0" xfId="0" applyAlignment="1" applyFont="1">
      <alignment horizontal="center" readingOrder="0" shrinkToFit="0" vertical="bottom" wrapText="0"/>
    </xf>
    <xf borderId="0" fillId="4" fontId="2" numFmtId="0" xfId="0" applyAlignment="1" applyFont="1">
      <alignment horizontal="center" readingOrder="0" shrinkToFit="0" vertical="bottom" wrapText="0"/>
    </xf>
    <xf borderId="0" fillId="5" fontId="2" numFmtId="0" xfId="0" applyAlignment="1" applyFont="1">
      <alignment horizontal="center" readingOrder="0" shrinkToFit="0" vertical="bottom" wrapText="0"/>
    </xf>
    <xf borderId="0" fillId="6" fontId="2" numFmtId="0" xfId="0" applyAlignment="1" applyFont="1">
      <alignment horizontal="center" readingOrder="0" shrinkToFit="0" vertical="bottom" wrapText="0"/>
    </xf>
    <xf borderId="0" fillId="7" fontId="2" numFmtId="0" xfId="0" applyAlignment="1" applyFont="1">
      <alignment horizontal="center" readingOrder="0" shrinkToFit="0" vertical="bottom" wrapText="0"/>
    </xf>
    <xf borderId="0" fillId="8" fontId="2" numFmtId="0" xfId="0" applyAlignment="1" applyFont="1">
      <alignment horizontal="center" readingOrder="0" shrinkToFit="0" vertical="bottom" wrapText="0"/>
    </xf>
    <xf borderId="0" fillId="0" fontId="2" numFmtId="0" xfId="0" applyAlignment="1" applyFont="1">
      <alignment readingOrder="0" shrinkToFit="0" vertical="bottom" wrapText="0"/>
    </xf>
    <xf borderId="0" fillId="9" fontId="2" numFmtId="0" xfId="0" applyAlignment="1" applyFont="1">
      <alignment horizontal="center" readingOrder="0" shrinkToFit="0" vertical="bottom" wrapText="0"/>
    </xf>
    <xf borderId="0" fillId="10" fontId="2" numFmtId="0" xfId="0" applyAlignment="1" applyFill="1" applyFont="1">
      <alignment horizontal="center" readingOrder="0" shrinkToFit="0" vertical="bottom" wrapText="0"/>
    </xf>
    <xf borderId="0" fillId="0" fontId="1" numFmtId="0" xfId="0" applyAlignment="1" applyFont="1">
      <alignment horizontal="center" readingOrder="0"/>
    </xf>
    <xf borderId="0" fillId="2" fontId="1" numFmtId="0" xfId="0" applyAlignment="1" applyFont="1">
      <alignment horizontal="center" readingOrder="0"/>
    </xf>
    <xf borderId="0" fillId="3" fontId="1" numFmtId="0" xfId="0" applyAlignment="1" applyFont="1">
      <alignment horizontal="center" readingOrder="0"/>
    </xf>
    <xf borderId="0" fillId="4" fontId="1" numFmtId="0" xfId="0" applyAlignment="1" applyFont="1">
      <alignment horizontal="center"/>
    </xf>
    <xf borderId="0" fillId="5" fontId="1" numFmtId="0" xfId="0" applyAlignment="1" applyFont="1">
      <alignment horizontal="center"/>
    </xf>
    <xf borderId="0" fillId="6" fontId="1" numFmtId="0" xfId="0" applyAlignment="1" applyFont="1">
      <alignment horizontal="center"/>
    </xf>
    <xf borderId="0" fillId="7" fontId="1" numFmtId="0" xfId="0" applyAlignment="1" applyFont="1">
      <alignment horizontal="center"/>
    </xf>
    <xf borderId="0" fillId="0" fontId="1" numFmtId="0" xfId="0" applyFont="1"/>
    <xf borderId="0" fillId="10" fontId="1" numFmtId="0" xfId="0" applyAlignment="1" applyFont="1">
      <alignment horizontal="center"/>
    </xf>
    <xf borderId="0" fillId="2" fontId="1" numFmtId="164" xfId="0" applyAlignment="1" applyFont="1" applyNumberFormat="1">
      <alignment horizontal="center" readingOrder="0"/>
    </xf>
    <xf borderId="0" fillId="2" fontId="1" numFmtId="0" xfId="0" applyAlignment="1" applyFont="1">
      <alignment horizontal="center"/>
    </xf>
    <xf borderId="0" fillId="3" fontId="1" numFmtId="0" xfId="0" applyAlignment="1" applyFont="1">
      <alignment horizontal="center"/>
    </xf>
    <xf borderId="0" fillId="4" fontId="1" numFmtId="0" xfId="0" applyAlignment="1" applyFont="1">
      <alignment horizontal="center" readingOrder="0"/>
    </xf>
    <xf borderId="0" fillId="5" fontId="1" numFmtId="0" xfId="0" applyAlignment="1" applyFont="1">
      <alignment horizontal="center" readingOrder="0"/>
    </xf>
    <xf borderId="0" fillId="4" fontId="1" numFmtId="164" xfId="0" applyAlignment="1" applyFont="1" applyNumberFormat="1">
      <alignment horizontal="center" readingOrder="0"/>
    </xf>
    <xf borderId="0" fillId="6" fontId="1" numFmtId="0" xfId="0" applyAlignment="1" applyFont="1">
      <alignment horizontal="center" readingOrder="0"/>
    </xf>
    <xf borderId="0" fillId="7" fontId="1" numFmtId="0" xfId="0" applyAlignment="1" applyFont="1">
      <alignment horizontal="center" readingOrder="0"/>
    </xf>
    <xf borderId="0" fillId="6" fontId="1" numFmtId="164" xfId="0" applyAlignment="1" applyFont="1" applyNumberFormat="1">
      <alignment horizontal="center" readingOrder="0"/>
    </xf>
    <xf borderId="0" fillId="0" fontId="3" numFmtId="0" xfId="0" applyAlignment="1" applyFont="1">
      <alignment vertical="bottom"/>
    </xf>
    <xf borderId="0" fillId="11" fontId="3" numFmtId="0" xfId="0" applyAlignment="1" applyFill="1" applyFont="1">
      <alignment vertical="bottom"/>
    </xf>
    <xf borderId="0" fillId="0" fontId="4" numFmtId="0" xfId="0" applyAlignment="1" applyFont="1">
      <alignment vertical="bottom"/>
    </xf>
    <xf borderId="0" fillId="12" fontId="3" numFmtId="0" xfId="0" applyAlignment="1" applyFill="1" applyFont="1">
      <alignment vertical="bottom"/>
    </xf>
    <xf borderId="0" fillId="0" fontId="4" numFmtId="0" xfId="0" applyAlignment="1" applyFont="1">
      <alignment vertical="bottom"/>
    </xf>
    <xf borderId="0" fillId="0" fontId="3" numFmtId="0" xfId="0" applyAlignment="1" applyFont="1">
      <alignment vertical="bottom"/>
    </xf>
    <xf borderId="0" fillId="0" fontId="4" numFmtId="0" xfId="0" applyAlignment="1" applyFont="1">
      <alignment readingOrder="0" vertical="bottom"/>
    </xf>
    <xf borderId="0" fillId="0" fontId="5" numFmtId="0" xfId="0" applyAlignment="1" applyFont="1">
      <alignment vertical="bottom"/>
    </xf>
    <xf borderId="0" fillId="13" fontId="5" numFmtId="0" xfId="0" applyAlignment="1" applyFill="1" applyFont="1">
      <alignment vertical="bottom"/>
    </xf>
    <xf borderId="0" fillId="11" fontId="5" numFmtId="0" xfId="0" applyAlignment="1" applyFont="1">
      <alignment vertical="bottom"/>
    </xf>
    <xf borderId="0" fillId="2" fontId="4" numFmtId="164" xfId="0" applyAlignment="1" applyFont="1" applyNumberFormat="1">
      <alignment horizontal="center" vertical="bottom"/>
    </xf>
    <xf borderId="0" fillId="3" fontId="4" numFmtId="0" xfId="0" applyAlignment="1" applyFont="1">
      <alignment horizontal="center" vertical="bottom"/>
    </xf>
    <xf borderId="0" fillId="4" fontId="4" numFmtId="164" xfId="0" applyAlignment="1" applyFont="1" applyNumberFormat="1">
      <alignment horizontal="center" vertical="bottom"/>
    </xf>
    <xf borderId="0" fillId="5" fontId="4" numFmtId="0" xfId="0" applyAlignment="1" applyFont="1">
      <alignment horizontal="center" vertical="bottom"/>
    </xf>
    <xf borderId="0" fillId="6" fontId="4" numFmtId="164" xfId="0" applyAlignment="1" applyFont="1" applyNumberFormat="1">
      <alignment horizontal="center" vertical="bottom"/>
    </xf>
    <xf borderId="0" fillId="7" fontId="4" numFmtId="0" xfId="0" applyAlignment="1" applyFont="1">
      <alignment horizontal="center" vertical="bottom"/>
    </xf>
    <xf borderId="0" fillId="0" fontId="2" numFmtId="0" xfId="0" applyAlignment="1" applyFont="1">
      <alignment shrinkToFit="0" vertical="bottom" wrapText="0"/>
    </xf>
    <xf borderId="0" fillId="0" fontId="2" numFmtId="165" xfId="0" applyAlignment="1" applyFont="1" applyNumberFormat="1">
      <alignment horizontal="right" readingOrder="0" shrinkToFit="0" vertical="bottom" wrapText="0"/>
    </xf>
    <xf borderId="0" fillId="0" fontId="2" numFmtId="0" xfId="0" applyAlignment="1" applyFont="1">
      <alignment horizontal="right" readingOrder="0" shrinkToFit="0" vertical="bottom" wrapText="0"/>
    </xf>
    <xf borderId="0" fillId="0" fontId="2" numFmtId="0" xfId="0" applyFont="1"/>
    <xf borderId="0" fillId="0" fontId="6" numFmtId="0" xfId="0" applyAlignment="1" applyFont="1">
      <alignment shrinkToFit="0" vertical="bottom" wrapText="0"/>
    </xf>
    <xf borderId="0" fillId="0" fontId="2" numFmtId="164" xfId="0" applyAlignment="1" applyFont="1" applyNumberFormat="1">
      <alignment readingOrder="0" shrinkToFit="0" vertical="bottom" wrapText="0"/>
    </xf>
    <xf borderId="0" fillId="0" fontId="2" numFmtId="0" xfId="0" applyAlignment="1" applyFont="1">
      <alignment readingOrder="0"/>
    </xf>
    <xf borderId="0" fillId="0" fontId="2" numFmtId="164" xfId="0" applyAlignment="1" applyFont="1" applyNumberFormat="1">
      <alignment readingOrder="0"/>
    </xf>
    <xf borderId="0" fillId="0" fontId="5" numFmtId="0" xfId="0" applyAlignment="1" applyFont="1">
      <alignment readingOrder="0" shrinkToFit="0" vertical="bottom" wrapText="0"/>
    </xf>
    <xf borderId="0" fillId="13" fontId="5" numFmtId="0" xfId="0" applyAlignment="1" applyFont="1">
      <alignment horizontal="left" readingOrder="0"/>
    </xf>
    <xf borderId="0" fillId="0" fontId="1" numFmtId="164" xfId="0" applyAlignment="1" applyFont="1" applyNumberFormat="1">
      <alignment horizontal="center" readingOrder="0"/>
    </xf>
    <xf borderId="0" fillId="0" fontId="2" numFmtId="0" xfId="0" applyAlignment="1" applyFont="1">
      <alignment horizontal="left" readingOrder="0" shrinkToFit="0" vertical="bottom" wrapText="0"/>
    </xf>
    <xf borderId="0" fillId="9" fontId="7" numFmtId="0" xfId="0" applyFont="1"/>
    <xf borderId="0" fillId="0" fontId="8" numFmtId="0" xfId="0" applyAlignment="1" applyFont="1">
      <alignment readingOrder="0" shrinkToFit="0" vertical="bottom" wrapText="0"/>
    </xf>
    <xf borderId="0" fillId="0" fontId="8" numFmtId="0" xfId="0" applyAlignment="1" applyFont="1">
      <alignment horizontal="center" readingOrder="0" shrinkToFit="0" vertical="bottom" wrapText="0"/>
    </xf>
    <xf borderId="0" fillId="0" fontId="8" numFmtId="0" xfId="0" applyAlignment="1" applyFont="1">
      <alignment readingOrder="0" shrinkToFit="0" vertical="bottom" wrapText="0"/>
    </xf>
    <xf borderId="0" fillId="0" fontId="2" numFmtId="164" xfId="0" applyAlignment="1" applyFont="1" applyNumberFormat="1">
      <alignment horizontal="center" readingOrder="0" shrinkToFit="0" vertical="bottom" wrapText="0"/>
    </xf>
    <xf borderId="0" fillId="0" fontId="2" numFmtId="0" xfId="0" applyAlignment="1" applyFont="1">
      <alignment horizontal="right" shrinkToFit="0" vertical="bottom" wrapText="0"/>
    </xf>
    <xf borderId="0" fillId="14" fontId="9" numFmtId="0" xfId="0" applyAlignment="1" applyFill="1" applyFont="1">
      <alignment horizontal="left" readingOrder="0" shrinkToFit="0" vertical="center" wrapText="0"/>
    </xf>
    <xf borderId="0" fillId="0" fontId="2" numFmtId="0" xfId="0" applyAlignment="1" applyFont="1">
      <alignment readingOrder="0" shrinkToFit="0" vertical="center" wrapText="0"/>
    </xf>
    <xf borderId="0" fillId="0" fontId="2" numFmtId="0" xfId="0" applyAlignment="1" applyFont="1">
      <alignment shrinkToFit="0" vertical="center" wrapText="0"/>
    </xf>
    <xf borderId="0" fillId="0" fontId="1" numFmtId="0" xfId="0" applyAlignment="1" applyFont="1">
      <alignment vertical="center"/>
    </xf>
    <xf borderId="0" fillId="0" fontId="2" numFmtId="0" xfId="0" applyAlignment="1" applyFont="1">
      <alignment shrinkToFit="0" vertical="bottom" wrapText="0"/>
    </xf>
    <xf borderId="0" fillId="0" fontId="2" numFmtId="165" xfId="0" applyAlignment="1" applyFont="1" applyNumberFormat="1">
      <alignment shrinkToFit="0" vertical="bottom" wrapText="0"/>
    </xf>
    <xf borderId="0" fillId="0" fontId="2" numFmtId="0" xfId="0" applyAlignment="1" applyFont="1">
      <alignment horizontal="right" readingOrder="0"/>
    </xf>
    <xf borderId="0" fillId="0" fontId="3" numFmtId="0" xfId="0" applyAlignment="1" applyFont="1">
      <alignment readingOrder="0" shrinkToFit="0" vertical="bottom" wrapText="0"/>
    </xf>
    <xf borderId="0" fillId="0" fontId="10" numFmtId="0" xfId="0" applyAlignment="1" applyFont="1">
      <alignment shrinkToFit="0" vertical="bottom" wrapText="0"/>
    </xf>
    <xf borderId="0" fillId="0" fontId="4" numFmtId="0" xfId="0" applyAlignment="1" applyFont="1">
      <alignment horizontal="center"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3"/>
    <col customWidth="1" min="2" max="2" width="0.38"/>
    <col customWidth="1" min="3" max="3" width="6.38"/>
    <col customWidth="1" min="4" max="4" width="0.38"/>
    <col customWidth="1" min="5" max="5" width="6.38"/>
    <col customWidth="1" min="6" max="6" width="0.38"/>
    <col customWidth="1" min="7" max="7" width="7.5"/>
    <col customWidth="1" min="8" max="8" width="9.13"/>
    <col customWidth="1" min="9" max="9" width="47.88"/>
    <col customWidth="1" min="10" max="10" width="16.88"/>
    <col customWidth="1" min="11" max="11" width="31.63"/>
    <col customWidth="1" min="13" max="13" width="18.75"/>
    <col customWidth="1" min="16" max="16" width="2.63"/>
    <col customWidth="1" min="17" max="17" width="14.0"/>
    <col customWidth="1" min="20" max="20" width="11.5"/>
    <col customWidth="1" min="21" max="21" width="0.38"/>
    <col customWidth="1" min="22" max="22" width="16.5"/>
    <col customWidth="1" min="23" max="23" width="25.5"/>
    <col customWidth="1" min="24" max="24" width="9.13"/>
    <col customWidth="1" min="25" max="25" width="18.5"/>
  </cols>
  <sheetData>
    <row r="1">
      <c r="B1" s="1"/>
      <c r="C1" s="2"/>
      <c r="D1" s="3"/>
      <c r="E1" s="4"/>
      <c r="F1" s="5"/>
      <c r="G1" s="6"/>
      <c r="H1" s="7"/>
      <c r="P1" s="8"/>
      <c r="T1" s="9"/>
    </row>
    <row r="2">
      <c r="B2" s="1"/>
      <c r="C2" s="2"/>
      <c r="D2" s="3"/>
      <c r="E2" s="4"/>
      <c r="F2" s="5"/>
      <c r="G2" s="6"/>
      <c r="H2" s="7"/>
      <c r="P2" s="8"/>
      <c r="Q2" s="10" t="s">
        <v>0</v>
      </c>
      <c r="T2" s="9"/>
    </row>
    <row r="3">
      <c r="B3" s="1"/>
      <c r="C3" s="2"/>
      <c r="D3" s="3"/>
      <c r="E3" s="4"/>
      <c r="F3" s="5"/>
      <c r="G3" s="6"/>
      <c r="H3" s="7"/>
      <c r="P3" s="8"/>
      <c r="Q3" s="11">
        <v>20.0</v>
      </c>
      <c r="R3" s="11">
        <v>30.0</v>
      </c>
      <c r="S3" s="11">
        <v>15.0</v>
      </c>
      <c r="T3" s="9"/>
    </row>
    <row r="4">
      <c r="A4" s="12" t="s">
        <v>1</v>
      </c>
      <c r="B4" s="13" t="s">
        <v>2</v>
      </c>
      <c r="C4" s="14" t="s">
        <v>3</v>
      </c>
      <c r="D4" s="15" t="s">
        <v>4</v>
      </c>
      <c r="E4" s="16" t="s">
        <v>5</v>
      </c>
      <c r="F4" s="17" t="s">
        <v>6</v>
      </c>
      <c r="G4" s="18" t="s">
        <v>7</v>
      </c>
      <c r="H4" s="19" t="s">
        <v>8</v>
      </c>
      <c r="I4" s="20" t="s">
        <v>9</v>
      </c>
      <c r="J4" s="20" t="s">
        <v>10</v>
      </c>
      <c r="K4" s="20" t="s">
        <v>11</v>
      </c>
      <c r="L4" s="20" t="s">
        <v>12</v>
      </c>
      <c r="M4" s="20" t="s">
        <v>13</v>
      </c>
      <c r="N4" s="20" t="s">
        <v>14</v>
      </c>
      <c r="O4" s="20" t="s">
        <v>15</v>
      </c>
      <c r="P4" s="21"/>
      <c r="Q4" s="12" t="s">
        <v>16</v>
      </c>
      <c r="R4" s="12" t="s">
        <v>17</v>
      </c>
      <c r="S4" s="12" t="s">
        <v>18</v>
      </c>
      <c r="T4" s="22" t="s">
        <v>19</v>
      </c>
      <c r="U4" s="20" t="s">
        <v>9</v>
      </c>
      <c r="V4" s="20" t="s">
        <v>10</v>
      </c>
      <c r="W4" s="20" t="s">
        <v>11</v>
      </c>
      <c r="X4" s="20" t="s">
        <v>12</v>
      </c>
      <c r="Y4" s="20" t="s">
        <v>13</v>
      </c>
      <c r="Z4" s="20" t="s">
        <v>14</v>
      </c>
      <c r="AA4" s="20" t="s">
        <v>15</v>
      </c>
    </row>
    <row r="5">
      <c r="A5" s="23">
        <v>1.0</v>
      </c>
      <c r="B5" s="24">
        <v>1.0</v>
      </c>
      <c r="C5" s="25">
        <v>1.0</v>
      </c>
      <c r="D5" s="26"/>
      <c r="E5" s="27"/>
      <c r="F5" s="28"/>
      <c r="G5" s="29"/>
      <c r="H5" s="11">
        <f t="shared" ref="H5:H54" si="1">sum(C5+E5+G5)</f>
        <v>1</v>
      </c>
      <c r="I5" s="10" t="s">
        <v>20</v>
      </c>
      <c r="P5" s="8"/>
      <c r="Q5" s="30">
        <f t="shared" ref="Q5:Q54" si="2">C5*$Q$3</f>
        <v>20</v>
      </c>
      <c r="R5" s="30">
        <f t="shared" ref="R5:R54" si="3">E5*$R$3</f>
        <v>0</v>
      </c>
      <c r="S5" s="30">
        <f t="shared" ref="S5:S54" si="4">G5*$S$3</f>
        <v>0</v>
      </c>
      <c r="T5" s="31">
        <f t="shared" ref="T5:T54" si="5">Q5+R5+S5</f>
        <v>20</v>
      </c>
      <c r="U5" s="10" t="s">
        <v>20</v>
      </c>
    </row>
    <row r="6">
      <c r="A6" s="23">
        <v>2.0</v>
      </c>
      <c r="B6" s="32">
        <v>45658.0</v>
      </c>
      <c r="C6" s="25">
        <v>1.0</v>
      </c>
      <c r="D6" s="26"/>
      <c r="E6" s="27"/>
      <c r="F6" s="28"/>
      <c r="G6" s="29"/>
      <c r="H6" s="11">
        <f t="shared" si="1"/>
        <v>1</v>
      </c>
      <c r="I6" s="10" t="s">
        <v>21</v>
      </c>
      <c r="P6" s="8"/>
      <c r="Q6" s="30">
        <f t="shared" si="2"/>
        <v>20</v>
      </c>
      <c r="R6" s="30">
        <f t="shared" si="3"/>
        <v>0</v>
      </c>
      <c r="S6" s="30">
        <f t="shared" si="4"/>
        <v>0</v>
      </c>
      <c r="T6" s="31">
        <f t="shared" si="5"/>
        <v>20</v>
      </c>
      <c r="U6" s="10" t="s">
        <v>21</v>
      </c>
    </row>
    <row r="7">
      <c r="A7" s="23">
        <v>3.0</v>
      </c>
      <c r="B7" s="33"/>
      <c r="C7" s="34"/>
      <c r="D7" s="35">
        <v>1.0</v>
      </c>
      <c r="E7" s="36">
        <v>1.0</v>
      </c>
      <c r="F7" s="28"/>
      <c r="G7" s="29"/>
      <c r="H7" s="11">
        <f t="shared" si="1"/>
        <v>1</v>
      </c>
      <c r="I7" s="10" t="s">
        <v>22</v>
      </c>
      <c r="P7" s="8"/>
      <c r="Q7" s="30">
        <f t="shared" si="2"/>
        <v>0</v>
      </c>
      <c r="R7" s="30">
        <f t="shared" si="3"/>
        <v>30</v>
      </c>
      <c r="S7" s="30">
        <f t="shared" si="4"/>
        <v>0</v>
      </c>
      <c r="T7" s="31">
        <f t="shared" si="5"/>
        <v>30</v>
      </c>
      <c r="U7" s="10" t="s">
        <v>22</v>
      </c>
    </row>
    <row r="8">
      <c r="A8" s="23">
        <v>4.0</v>
      </c>
      <c r="B8" s="33"/>
      <c r="C8" s="34"/>
      <c r="D8" s="37">
        <v>45658.0</v>
      </c>
      <c r="E8" s="36">
        <v>1.0</v>
      </c>
      <c r="F8" s="28"/>
      <c r="G8" s="29"/>
      <c r="H8" s="11">
        <f t="shared" si="1"/>
        <v>1</v>
      </c>
      <c r="I8" s="10" t="s">
        <v>23</v>
      </c>
      <c r="P8" s="8"/>
      <c r="Q8" s="30">
        <f t="shared" si="2"/>
        <v>0</v>
      </c>
      <c r="R8" s="30">
        <f t="shared" si="3"/>
        <v>30</v>
      </c>
      <c r="S8" s="30">
        <f t="shared" si="4"/>
        <v>0</v>
      </c>
      <c r="T8" s="31">
        <f t="shared" si="5"/>
        <v>30</v>
      </c>
      <c r="U8" s="10" t="s">
        <v>23</v>
      </c>
    </row>
    <row r="9">
      <c r="A9" s="23">
        <v>5.0</v>
      </c>
      <c r="B9" s="33"/>
      <c r="C9" s="34"/>
      <c r="D9" s="26"/>
      <c r="E9" s="27"/>
      <c r="F9" s="38">
        <v>1.0</v>
      </c>
      <c r="G9" s="39">
        <v>1.0</v>
      </c>
      <c r="H9" s="11">
        <f t="shared" si="1"/>
        <v>1</v>
      </c>
      <c r="I9" s="10" t="s">
        <v>24</v>
      </c>
      <c r="P9" s="8"/>
      <c r="Q9" s="30">
        <f t="shared" si="2"/>
        <v>0</v>
      </c>
      <c r="R9" s="30">
        <f t="shared" si="3"/>
        <v>0</v>
      </c>
      <c r="S9" s="30">
        <f t="shared" si="4"/>
        <v>15</v>
      </c>
      <c r="T9" s="31">
        <f t="shared" si="5"/>
        <v>15</v>
      </c>
      <c r="U9" s="10" t="s">
        <v>24</v>
      </c>
    </row>
    <row r="10">
      <c r="A10" s="23">
        <v>6.0</v>
      </c>
      <c r="B10" s="33"/>
      <c r="C10" s="34"/>
      <c r="D10" s="26"/>
      <c r="E10" s="27"/>
      <c r="F10" s="40">
        <v>45658.0</v>
      </c>
      <c r="G10" s="39">
        <v>1.0</v>
      </c>
      <c r="H10" s="11">
        <f t="shared" si="1"/>
        <v>1</v>
      </c>
      <c r="I10" s="10" t="s">
        <v>25</v>
      </c>
      <c r="P10" s="8"/>
      <c r="Q10" s="30">
        <f t="shared" si="2"/>
        <v>0</v>
      </c>
      <c r="R10" s="30">
        <f t="shared" si="3"/>
        <v>0</v>
      </c>
      <c r="S10" s="30">
        <f t="shared" si="4"/>
        <v>15</v>
      </c>
      <c r="T10" s="31">
        <f t="shared" si="5"/>
        <v>15</v>
      </c>
      <c r="U10" s="10" t="s">
        <v>25</v>
      </c>
    </row>
    <row r="11">
      <c r="A11" s="23">
        <v>7.0</v>
      </c>
      <c r="B11" s="24">
        <v>2.0</v>
      </c>
      <c r="C11" s="25">
        <v>2.0</v>
      </c>
      <c r="D11" s="26"/>
      <c r="E11" s="27"/>
      <c r="F11" s="28"/>
      <c r="G11" s="29"/>
      <c r="H11" s="11">
        <f t="shared" si="1"/>
        <v>2</v>
      </c>
      <c r="I11" s="10" t="s">
        <v>26</v>
      </c>
      <c r="J11" s="10" t="s">
        <v>27</v>
      </c>
      <c r="K11" s="41" t="s">
        <v>28</v>
      </c>
      <c r="L11" s="41" t="s">
        <v>29</v>
      </c>
      <c r="M11" s="41" t="s">
        <v>30</v>
      </c>
      <c r="N11" s="41" t="s">
        <v>31</v>
      </c>
      <c r="O11" s="41" t="s">
        <v>32</v>
      </c>
      <c r="P11" s="8"/>
      <c r="Q11" s="30">
        <f t="shared" si="2"/>
        <v>40</v>
      </c>
      <c r="R11" s="30">
        <f t="shared" si="3"/>
        <v>0</v>
      </c>
      <c r="S11" s="30">
        <f t="shared" si="4"/>
        <v>0</v>
      </c>
      <c r="T11" s="31">
        <f t="shared" si="5"/>
        <v>40</v>
      </c>
      <c r="U11" s="10" t="s">
        <v>26</v>
      </c>
      <c r="V11" s="10" t="s">
        <v>27</v>
      </c>
      <c r="W11" s="41" t="s">
        <v>28</v>
      </c>
      <c r="X11" s="41" t="s">
        <v>29</v>
      </c>
      <c r="Y11" s="42" t="s">
        <v>30</v>
      </c>
      <c r="Z11" s="41" t="s">
        <v>31</v>
      </c>
      <c r="AA11" s="41" t="s">
        <v>32</v>
      </c>
    </row>
    <row r="12">
      <c r="A12" s="23">
        <v>8.0</v>
      </c>
      <c r="B12" s="24">
        <v>3.0</v>
      </c>
      <c r="C12" s="25">
        <v>4.0</v>
      </c>
      <c r="D12" s="35">
        <v>4.0</v>
      </c>
      <c r="E12" s="36">
        <v>5.0</v>
      </c>
      <c r="F12" s="38">
        <v>2.0</v>
      </c>
      <c r="G12" s="39">
        <v>5.0</v>
      </c>
      <c r="H12" s="11">
        <f t="shared" si="1"/>
        <v>14</v>
      </c>
      <c r="I12" s="10" t="s">
        <v>33</v>
      </c>
      <c r="J12" s="10" t="s">
        <v>34</v>
      </c>
      <c r="K12" s="41" t="s">
        <v>35</v>
      </c>
      <c r="L12" s="41" t="s">
        <v>36</v>
      </c>
      <c r="M12" s="41" t="s">
        <v>37</v>
      </c>
      <c r="N12" s="41" t="s">
        <v>36</v>
      </c>
      <c r="O12" s="43"/>
      <c r="P12" s="8"/>
      <c r="Q12" s="30">
        <f t="shared" si="2"/>
        <v>80</v>
      </c>
      <c r="R12" s="30">
        <f t="shared" si="3"/>
        <v>150</v>
      </c>
      <c r="S12" s="30">
        <f t="shared" si="4"/>
        <v>75</v>
      </c>
      <c r="T12" s="31">
        <f t="shared" si="5"/>
        <v>305</v>
      </c>
      <c r="U12" s="10" t="s">
        <v>33</v>
      </c>
      <c r="V12" s="10" t="s">
        <v>34</v>
      </c>
      <c r="W12" s="41" t="s">
        <v>35</v>
      </c>
      <c r="X12" s="41" t="s">
        <v>36</v>
      </c>
      <c r="Y12" s="44" t="s">
        <v>37</v>
      </c>
      <c r="Z12" s="41" t="s">
        <v>36</v>
      </c>
      <c r="AA12" s="43"/>
    </row>
    <row r="13">
      <c r="A13" s="23">
        <v>9.0</v>
      </c>
      <c r="B13" s="33"/>
      <c r="C13" s="34"/>
      <c r="D13" s="35">
        <v>5.0</v>
      </c>
      <c r="E13" s="36">
        <v>1.0</v>
      </c>
      <c r="F13" s="38">
        <v>3.0</v>
      </c>
      <c r="G13" s="39">
        <v>1.0</v>
      </c>
      <c r="H13" s="11">
        <f t="shared" si="1"/>
        <v>2</v>
      </c>
      <c r="I13" s="10" t="s">
        <v>38</v>
      </c>
      <c r="J13" s="10" t="s">
        <v>39</v>
      </c>
      <c r="K13" s="41" t="s">
        <v>40</v>
      </c>
      <c r="L13" s="41" t="s">
        <v>41</v>
      </c>
      <c r="M13" s="41" t="s">
        <v>42</v>
      </c>
      <c r="N13" s="41" t="s">
        <v>31</v>
      </c>
      <c r="O13" s="41" t="s">
        <v>43</v>
      </c>
      <c r="P13" s="8"/>
      <c r="Q13" s="30">
        <f t="shared" si="2"/>
        <v>0</v>
      </c>
      <c r="R13" s="30">
        <f t="shared" si="3"/>
        <v>30</v>
      </c>
      <c r="S13" s="30">
        <f t="shared" si="4"/>
        <v>15</v>
      </c>
      <c r="T13" s="31">
        <f t="shared" si="5"/>
        <v>45</v>
      </c>
      <c r="U13" s="10" t="s">
        <v>38</v>
      </c>
      <c r="V13" s="10" t="s">
        <v>39</v>
      </c>
      <c r="W13" s="41" t="s">
        <v>40</v>
      </c>
      <c r="X13" s="41" t="s">
        <v>41</v>
      </c>
      <c r="Y13" s="42" t="s">
        <v>42</v>
      </c>
      <c r="Z13" s="41" t="s">
        <v>31</v>
      </c>
      <c r="AA13" s="41" t="s">
        <v>43</v>
      </c>
    </row>
    <row r="14">
      <c r="A14" s="23">
        <v>10.0</v>
      </c>
      <c r="B14" s="24">
        <v>4.0</v>
      </c>
      <c r="C14" s="25">
        <v>7.0</v>
      </c>
      <c r="D14" s="26"/>
      <c r="E14" s="27"/>
      <c r="F14" s="28"/>
      <c r="G14" s="29"/>
      <c r="H14" s="11">
        <f t="shared" si="1"/>
        <v>7</v>
      </c>
      <c r="I14" s="10" t="s">
        <v>44</v>
      </c>
      <c r="J14" s="10" t="s">
        <v>45</v>
      </c>
      <c r="L14" s="41" t="s">
        <v>36</v>
      </c>
      <c r="M14" s="41" t="s">
        <v>46</v>
      </c>
      <c r="N14" s="41" t="s">
        <v>36</v>
      </c>
      <c r="P14" s="8"/>
      <c r="Q14" s="30">
        <f t="shared" si="2"/>
        <v>140</v>
      </c>
      <c r="R14" s="30">
        <f t="shared" si="3"/>
        <v>0</v>
      </c>
      <c r="S14" s="30">
        <f t="shared" si="4"/>
        <v>0</v>
      </c>
      <c r="T14" s="31">
        <f t="shared" si="5"/>
        <v>140</v>
      </c>
      <c r="U14" s="10" t="s">
        <v>44</v>
      </c>
      <c r="V14" s="10" t="s">
        <v>45</v>
      </c>
      <c r="X14" s="41" t="s">
        <v>36</v>
      </c>
      <c r="Y14" s="44" t="s">
        <v>46</v>
      </c>
      <c r="Z14" s="41" t="s">
        <v>36</v>
      </c>
    </row>
    <row r="15">
      <c r="A15" s="23">
        <v>11.0</v>
      </c>
      <c r="B15" s="33"/>
      <c r="C15" s="34"/>
      <c r="D15" s="35">
        <v>6.0</v>
      </c>
      <c r="E15" s="36">
        <v>1.0</v>
      </c>
      <c r="F15" s="38">
        <v>4.0</v>
      </c>
      <c r="G15" s="39">
        <v>1.0</v>
      </c>
      <c r="H15" s="11">
        <f t="shared" si="1"/>
        <v>2</v>
      </c>
      <c r="I15" s="10" t="s">
        <v>47</v>
      </c>
      <c r="J15" s="10" t="s">
        <v>48</v>
      </c>
      <c r="L15" s="41" t="s">
        <v>36</v>
      </c>
      <c r="M15" s="41" t="s">
        <v>49</v>
      </c>
      <c r="N15" s="41" t="s">
        <v>36</v>
      </c>
      <c r="O15" s="43"/>
      <c r="P15" s="8"/>
      <c r="Q15" s="30">
        <f t="shared" si="2"/>
        <v>0</v>
      </c>
      <c r="R15" s="30">
        <f t="shared" si="3"/>
        <v>30</v>
      </c>
      <c r="S15" s="30">
        <f t="shared" si="4"/>
        <v>15</v>
      </c>
      <c r="T15" s="31">
        <f t="shared" si="5"/>
        <v>45</v>
      </c>
      <c r="U15" s="10" t="s">
        <v>47</v>
      </c>
      <c r="V15" s="10" t="s">
        <v>48</v>
      </c>
      <c r="X15" s="41" t="s">
        <v>36</v>
      </c>
      <c r="Y15" s="44" t="s">
        <v>49</v>
      </c>
      <c r="Z15" s="41" t="s">
        <v>36</v>
      </c>
      <c r="AA15" s="43"/>
    </row>
    <row r="16">
      <c r="A16" s="23">
        <v>12.0</v>
      </c>
      <c r="B16" s="24">
        <v>5.0</v>
      </c>
      <c r="C16" s="25">
        <v>1.0</v>
      </c>
      <c r="D16" s="26"/>
      <c r="E16" s="27"/>
      <c r="F16" s="28"/>
      <c r="G16" s="29"/>
      <c r="H16" s="11">
        <f t="shared" si="1"/>
        <v>1</v>
      </c>
      <c r="I16" s="10" t="s">
        <v>50</v>
      </c>
      <c r="J16" s="10" t="s">
        <v>51</v>
      </c>
      <c r="L16" s="41" t="s">
        <v>36</v>
      </c>
      <c r="M16" s="41" t="s">
        <v>52</v>
      </c>
      <c r="N16" s="41" t="s">
        <v>36</v>
      </c>
      <c r="P16" s="8"/>
      <c r="Q16" s="30">
        <f t="shared" si="2"/>
        <v>20</v>
      </c>
      <c r="R16" s="30">
        <f t="shared" si="3"/>
        <v>0</v>
      </c>
      <c r="S16" s="30">
        <f t="shared" si="4"/>
        <v>0</v>
      </c>
      <c r="T16" s="31">
        <f t="shared" si="5"/>
        <v>20</v>
      </c>
      <c r="U16" s="10" t="s">
        <v>50</v>
      </c>
      <c r="V16" s="10" t="s">
        <v>51</v>
      </c>
      <c r="X16" s="41" t="s">
        <v>36</v>
      </c>
      <c r="Y16" s="44" t="s">
        <v>52</v>
      </c>
      <c r="Z16" s="41" t="s">
        <v>36</v>
      </c>
    </row>
    <row r="17">
      <c r="A17" s="23">
        <v>13.0</v>
      </c>
      <c r="B17" s="33"/>
      <c r="C17" s="34"/>
      <c r="D17" s="26"/>
      <c r="E17" s="27"/>
      <c r="F17" s="38">
        <v>5.0</v>
      </c>
      <c r="G17" s="39">
        <v>1.0</v>
      </c>
      <c r="H17" s="11">
        <f t="shared" si="1"/>
        <v>1</v>
      </c>
      <c r="I17" s="45" t="s">
        <v>53</v>
      </c>
      <c r="J17" s="45" t="s">
        <v>54</v>
      </c>
      <c r="K17" s="41" t="s">
        <v>55</v>
      </c>
      <c r="L17" s="41" t="s">
        <v>29</v>
      </c>
      <c r="M17" s="41" t="s">
        <v>56</v>
      </c>
      <c r="N17" s="41" t="s">
        <v>31</v>
      </c>
      <c r="O17" s="41" t="s">
        <v>57</v>
      </c>
      <c r="P17" s="8"/>
      <c r="Q17" s="30">
        <f t="shared" si="2"/>
        <v>0</v>
      </c>
      <c r="R17" s="30">
        <f t="shared" si="3"/>
        <v>0</v>
      </c>
      <c r="S17" s="30">
        <f t="shared" si="4"/>
        <v>15</v>
      </c>
      <c r="T17" s="31">
        <f t="shared" si="5"/>
        <v>15</v>
      </c>
      <c r="U17" s="45" t="s">
        <v>53</v>
      </c>
      <c r="V17" s="45" t="s">
        <v>54</v>
      </c>
      <c r="W17" s="41" t="s">
        <v>55</v>
      </c>
      <c r="X17" s="41" t="s">
        <v>29</v>
      </c>
      <c r="Y17" s="42" t="s">
        <v>56</v>
      </c>
      <c r="Z17" s="41" t="s">
        <v>31</v>
      </c>
      <c r="AA17" s="41" t="s">
        <v>57</v>
      </c>
    </row>
    <row r="18">
      <c r="A18" s="23">
        <v>14.0</v>
      </c>
      <c r="B18" s="24">
        <v>6.0</v>
      </c>
      <c r="C18" s="25">
        <v>3.0</v>
      </c>
      <c r="D18" s="26"/>
      <c r="E18" s="27"/>
      <c r="F18" s="28"/>
      <c r="G18" s="29"/>
      <c r="H18" s="11">
        <f t="shared" si="1"/>
        <v>3</v>
      </c>
      <c r="I18" s="10" t="s">
        <v>58</v>
      </c>
      <c r="J18" s="10" t="s">
        <v>59</v>
      </c>
      <c r="K18" s="41" t="s">
        <v>60</v>
      </c>
      <c r="L18" s="41" t="s">
        <v>61</v>
      </c>
      <c r="M18" s="41" t="s">
        <v>62</v>
      </c>
      <c r="N18" s="41" t="s">
        <v>31</v>
      </c>
      <c r="O18" s="41" t="s">
        <v>63</v>
      </c>
      <c r="P18" s="8"/>
      <c r="Q18" s="30">
        <f t="shared" si="2"/>
        <v>60</v>
      </c>
      <c r="R18" s="30">
        <f t="shared" si="3"/>
        <v>0</v>
      </c>
      <c r="S18" s="30">
        <f t="shared" si="4"/>
        <v>0</v>
      </c>
      <c r="T18" s="31">
        <f t="shared" si="5"/>
        <v>60</v>
      </c>
      <c r="U18" s="10" t="s">
        <v>58</v>
      </c>
      <c r="V18" s="10" t="s">
        <v>59</v>
      </c>
      <c r="W18" s="41" t="s">
        <v>60</v>
      </c>
      <c r="X18" s="41" t="s">
        <v>61</v>
      </c>
      <c r="Y18" s="42" t="s">
        <v>62</v>
      </c>
      <c r="Z18" s="41" t="s">
        <v>31</v>
      </c>
      <c r="AA18" s="41" t="s">
        <v>63</v>
      </c>
    </row>
    <row r="19">
      <c r="A19" s="23">
        <v>15.0</v>
      </c>
      <c r="B19" s="33"/>
      <c r="C19" s="34"/>
      <c r="D19" s="35">
        <v>7.0</v>
      </c>
      <c r="E19" s="36">
        <v>1.0</v>
      </c>
      <c r="F19" s="38">
        <v>6.0</v>
      </c>
      <c r="G19" s="39">
        <v>1.0</v>
      </c>
      <c r="H19" s="11">
        <f t="shared" si="1"/>
        <v>2</v>
      </c>
      <c r="I19" s="45" t="s">
        <v>64</v>
      </c>
      <c r="J19" s="45" t="s">
        <v>54</v>
      </c>
      <c r="K19" s="41" t="s">
        <v>65</v>
      </c>
      <c r="L19" s="41" t="s">
        <v>66</v>
      </c>
      <c r="M19" s="41" t="s">
        <v>67</v>
      </c>
      <c r="N19" s="41" t="s">
        <v>31</v>
      </c>
      <c r="O19" s="41" t="s">
        <v>68</v>
      </c>
      <c r="P19" s="8"/>
      <c r="Q19" s="30">
        <f t="shared" si="2"/>
        <v>0</v>
      </c>
      <c r="R19" s="30">
        <f t="shared" si="3"/>
        <v>30</v>
      </c>
      <c r="S19" s="30">
        <f t="shared" si="4"/>
        <v>15</v>
      </c>
      <c r="T19" s="31">
        <f t="shared" si="5"/>
        <v>45</v>
      </c>
      <c r="U19" s="45" t="s">
        <v>64</v>
      </c>
      <c r="V19" s="45" t="s">
        <v>54</v>
      </c>
      <c r="W19" s="41" t="s">
        <v>65</v>
      </c>
      <c r="X19" s="41" t="s">
        <v>66</v>
      </c>
      <c r="Y19" s="42" t="s">
        <v>67</v>
      </c>
      <c r="Z19" s="41" t="s">
        <v>31</v>
      </c>
      <c r="AA19" s="41" t="s">
        <v>68</v>
      </c>
    </row>
    <row r="20">
      <c r="A20" s="23">
        <v>16.0</v>
      </c>
      <c r="B20" s="24">
        <v>7.0</v>
      </c>
      <c r="C20" s="25">
        <v>1.0</v>
      </c>
      <c r="D20" s="26"/>
      <c r="E20" s="27"/>
      <c r="F20" s="28"/>
      <c r="G20" s="29"/>
      <c r="H20" s="11">
        <f t="shared" si="1"/>
        <v>1</v>
      </c>
      <c r="I20" s="10" t="s">
        <v>69</v>
      </c>
      <c r="J20" s="10" t="s">
        <v>70</v>
      </c>
      <c r="K20" s="41" t="s">
        <v>71</v>
      </c>
      <c r="L20" s="41" t="s">
        <v>66</v>
      </c>
      <c r="M20" s="41" t="s">
        <v>72</v>
      </c>
      <c r="N20" s="41" t="s">
        <v>31</v>
      </c>
      <c r="O20" s="41" t="s">
        <v>73</v>
      </c>
      <c r="P20" s="8"/>
      <c r="Q20" s="30">
        <f t="shared" si="2"/>
        <v>20</v>
      </c>
      <c r="R20" s="30">
        <f t="shared" si="3"/>
        <v>0</v>
      </c>
      <c r="S20" s="30">
        <f t="shared" si="4"/>
        <v>0</v>
      </c>
      <c r="T20" s="31">
        <f t="shared" si="5"/>
        <v>20</v>
      </c>
      <c r="U20" s="10" t="s">
        <v>69</v>
      </c>
      <c r="V20" s="10" t="s">
        <v>70</v>
      </c>
      <c r="W20" s="41" t="s">
        <v>71</v>
      </c>
      <c r="X20" s="41" t="s">
        <v>66</v>
      </c>
      <c r="Y20" s="42" t="s">
        <v>72</v>
      </c>
      <c r="Z20" s="41" t="s">
        <v>31</v>
      </c>
      <c r="AA20" s="41" t="s">
        <v>73</v>
      </c>
    </row>
    <row r="21">
      <c r="A21" s="23">
        <v>17.0</v>
      </c>
      <c r="B21" s="33"/>
      <c r="C21" s="34"/>
      <c r="D21" s="35">
        <v>8.0</v>
      </c>
      <c r="E21" s="36">
        <v>4.0</v>
      </c>
      <c r="F21" s="38">
        <v>7.0</v>
      </c>
      <c r="G21" s="39">
        <v>2.0</v>
      </c>
      <c r="H21" s="11">
        <f t="shared" si="1"/>
        <v>6</v>
      </c>
      <c r="I21" s="10" t="s">
        <v>74</v>
      </c>
      <c r="J21" s="10" t="s">
        <v>75</v>
      </c>
      <c r="K21" s="10" t="s">
        <v>76</v>
      </c>
      <c r="L21" s="41" t="s">
        <v>77</v>
      </c>
      <c r="M21" s="41" t="s">
        <v>78</v>
      </c>
      <c r="N21" s="41" t="s">
        <v>77</v>
      </c>
      <c r="O21" s="43"/>
      <c r="P21" s="8"/>
      <c r="Q21" s="30">
        <f t="shared" si="2"/>
        <v>0</v>
      </c>
      <c r="R21" s="30">
        <f t="shared" si="3"/>
        <v>120</v>
      </c>
      <c r="S21" s="30">
        <f t="shared" si="4"/>
        <v>30</v>
      </c>
      <c r="T21" s="31">
        <f t="shared" si="5"/>
        <v>150</v>
      </c>
      <c r="U21" s="10" t="s">
        <v>74</v>
      </c>
      <c r="V21" s="10" t="s">
        <v>75</v>
      </c>
      <c r="W21" s="10" t="s">
        <v>76</v>
      </c>
      <c r="X21" s="41" t="s">
        <v>77</v>
      </c>
      <c r="Y21" s="41" t="s">
        <v>78</v>
      </c>
      <c r="Z21" s="41" t="s">
        <v>77</v>
      </c>
      <c r="AA21" s="43"/>
    </row>
    <row r="22">
      <c r="A22" s="23">
        <v>18.0</v>
      </c>
      <c r="B22" s="33"/>
      <c r="C22" s="34"/>
      <c r="D22" s="35">
        <v>9.0</v>
      </c>
      <c r="E22" s="36">
        <v>1.0</v>
      </c>
      <c r="F22" s="38">
        <v>8.0</v>
      </c>
      <c r="G22" s="39">
        <v>2.0</v>
      </c>
      <c r="H22" s="11">
        <f t="shared" si="1"/>
        <v>3</v>
      </c>
      <c r="I22" s="10" t="s">
        <v>79</v>
      </c>
      <c r="J22" s="10" t="s">
        <v>75</v>
      </c>
      <c r="K22" s="10" t="s">
        <v>80</v>
      </c>
      <c r="L22" s="41" t="s">
        <v>77</v>
      </c>
      <c r="M22" s="41" t="s">
        <v>78</v>
      </c>
      <c r="N22" s="41" t="s">
        <v>77</v>
      </c>
      <c r="O22" s="43"/>
      <c r="P22" s="8"/>
      <c r="Q22" s="30">
        <f t="shared" si="2"/>
        <v>0</v>
      </c>
      <c r="R22" s="30">
        <f t="shared" si="3"/>
        <v>30</v>
      </c>
      <c r="S22" s="30">
        <f t="shared" si="4"/>
        <v>30</v>
      </c>
      <c r="T22" s="31">
        <f t="shared" si="5"/>
        <v>60</v>
      </c>
      <c r="U22" s="10" t="s">
        <v>79</v>
      </c>
      <c r="V22" s="10" t="s">
        <v>75</v>
      </c>
      <c r="W22" s="10" t="s">
        <v>80</v>
      </c>
      <c r="X22" s="41" t="s">
        <v>77</v>
      </c>
      <c r="Y22" s="41" t="s">
        <v>78</v>
      </c>
      <c r="Z22" s="41" t="s">
        <v>77</v>
      </c>
      <c r="AA22" s="43"/>
    </row>
    <row r="23">
      <c r="A23" s="23">
        <v>19.0</v>
      </c>
      <c r="B23" s="33"/>
      <c r="C23" s="34"/>
      <c r="D23" s="26"/>
      <c r="E23" s="27"/>
      <c r="F23" s="38">
        <v>9.0</v>
      </c>
      <c r="G23" s="39">
        <v>1.0</v>
      </c>
      <c r="H23" s="11">
        <f t="shared" si="1"/>
        <v>1</v>
      </c>
      <c r="I23" s="10" t="s">
        <v>79</v>
      </c>
      <c r="J23" s="10" t="s">
        <v>75</v>
      </c>
      <c r="K23" s="10" t="s">
        <v>81</v>
      </c>
      <c r="L23" s="41" t="s">
        <v>77</v>
      </c>
      <c r="M23" s="41" t="s">
        <v>78</v>
      </c>
      <c r="N23" s="41" t="s">
        <v>77</v>
      </c>
      <c r="O23" s="43"/>
      <c r="P23" s="8"/>
      <c r="Q23" s="30">
        <f t="shared" si="2"/>
        <v>0</v>
      </c>
      <c r="R23" s="30">
        <f t="shared" si="3"/>
        <v>0</v>
      </c>
      <c r="S23" s="30">
        <f t="shared" si="4"/>
        <v>15</v>
      </c>
      <c r="T23" s="31">
        <f t="shared" si="5"/>
        <v>15</v>
      </c>
      <c r="U23" s="10" t="s">
        <v>79</v>
      </c>
      <c r="V23" s="10" t="s">
        <v>75</v>
      </c>
      <c r="W23" s="10" t="s">
        <v>81</v>
      </c>
      <c r="X23" s="41" t="s">
        <v>77</v>
      </c>
      <c r="Y23" s="41" t="s">
        <v>78</v>
      </c>
      <c r="Z23" s="41" t="s">
        <v>77</v>
      </c>
      <c r="AA23" s="43"/>
    </row>
    <row r="24">
      <c r="A24" s="23">
        <v>20.0</v>
      </c>
      <c r="B24" s="33"/>
      <c r="C24" s="34"/>
      <c r="D24" s="35">
        <v>10.0</v>
      </c>
      <c r="E24" s="36">
        <v>1.0</v>
      </c>
      <c r="F24" s="38">
        <v>10.0</v>
      </c>
      <c r="G24" s="39">
        <v>1.0</v>
      </c>
      <c r="H24" s="11">
        <f t="shared" si="1"/>
        <v>2</v>
      </c>
      <c r="I24" s="10" t="s">
        <v>82</v>
      </c>
      <c r="J24" s="10" t="s">
        <v>83</v>
      </c>
      <c r="K24" s="46" t="s">
        <v>84</v>
      </c>
      <c r="L24" s="41" t="s">
        <v>66</v>
      </c>
      <c r="M24" s="41" t="s">
        <v>85</v>
      </c>
      <c r="N24" s="41" t="s">
        <v>31</v>
      </c>
      <c r="O24" s="41" t="s">
        <v>86</v>
      </c>
      <c r="P24" s="8"/>
      <c r="Q24" s="30">
        <f t="shared" si="2"/>
        <v>0</v>
      </c>
      <c r="R24" s="30">
        <f t="shared" si="3"/>
        <v>30</v>
      </c>
      <c r="S24" s="30">
        <f t="shared" si="4"/>
        <v>15</v>
      </c>
      <c r="T24" s="31">
        <f t="shared" si="5"/>
        <v>45</v>
      </c>
      <c r="U24" s="10" t="s">
        <v>82</v>
      </c>
      <c r="V24" s="10" t="s">
        <v>83</v>
      </c>
      <c r="W24" s="46" t="s">
        <v>84</v>
      </c>
      <c r="X24" s="41" t="s">
        <v>66</v>
      </c>
      <c r="Y24" s="42" t="s">
        <v>85</v>
      </c>
      <c r="Z24" s="41" t="s">
        <v>31</v>
      </c>
      <c r="AA24" s="41" t="s">
        <v>86</v>
      </c>
    </row>
    <row r="25">
      <c r="A25" s="23">
        <v>21.0</v>
      </c>
      <c r="B25" s="33"/>
      <c r="C25" s="34"/>
      <c r="D25" s="26"/>
      <c r="E25" s="27"/>
      <c r="F25" s="38">
        <v>11.0</v>
      </c>
      <c r="G25" s="39">
        <v>1.0</v>
      </c>
      <c r="H25" s="11">
        <f t="shared" si="1"/>
        <v>1</v>
      </c>
      <c r="I25" s="10" t="s">
        <v>87</v>
      </c>
      <c r="J25" s="10" t="s">
        <v>88</v>
      </c>
      <c r="K25" s="10"/>
      <c r="L25" s="41" t="s">
        <v>36</v>
      </c>
      <c r="M25" s="41" t="s">
        <v>89</v>
      </c>
      <c r="N25" s="41" t="s">
        <v>36</v>
      </c>
      <c r="P25" s="8"/>
      <c r="Q25" s="30">
        <f t="shared" si="2"/>
        <v>0</v>
      </c>
      <c r="R25" s="30">
        <f t="shared" si="3"/>
        <v>0</v>
      </c>
      <c r="S25" s="30">
        <f t="shared" si="4"/>
        <v>15</v>
      </c>
      <c r="T25" s="31">
        <f t="shared" si="5"/>
        <v>15</v>
      </c>
      <c r="U25" s="10" t="s">
        <v>87</v>
      </c>
      <c r="V25" s="10" t="s">
        <v>88</v>
      </c>
      <c r="W25" s="10"/>
      <c r="X25" s="41" t="s">
        <v>36</v>
      </c>
      <c r="Y25" s="44" t="s">
        <v>89</v>
      </c>
      <c r="Z25" s="41" t="s">
        <v>36</v>
      </c>
    </row>
    <row r="26">
      <c r="A26" s="23">
        <v>22.0</v>
      </c>
      <c r="B26" s="24">
        <v>8.0</v>
      </c>
      <c r="C26" s="25">
        <v>2.0</v>
      </c>
      <c r="D26" s="35">
        <v>11.0</v>
      </c>
      <c r="E26" s="36">
        <v>2.0</v>
      </c>
      <c r="F26" s="38">
        <v>12.0</v>
      </c>
      <c r="G26" s="39">
        <v>2.0</v>
      </c>
      <c r="H26" s="11">
        <f t="shared" si="1"/>
        <v>6</v>
      </c>
      <c r="I26" s="10" t="s">
        <v>90</v>
      </c>
      <c r="J26" s="10" t="s">
        <v>91</v>
      </c>
      <c r="L26" s="41" t="s">
        <v>36</v>
      </c>
      <c r="M26" s="41" t="s">
        <v>92</v>
      </c>
      <c r="N26" s="41" t="s">
        <v>36</v>
      </c>
      <c r="P26" s="8"/>
      <c r="Q26" s="30">
        <f t="shared" si="2"/>
        <v>40</v>
      </c>
      <c r="R26" s="30">
        <f t="shared" si="3"/>
        <v>60</v>
      </c>
      <c r="S26" s="30">
        <f t="shared" si="4"/>
        <v>30</v>
      </c>
      <c r="T26" s="31">
        <f t="shared" si="5"/>
        <v>130</v>
      </c>
      <c r="U26" s="10" t="s">
        <v>90</v>
      </c>
      <c r="V26" s="10" t="s">
        <v>91</v>
      </c>
      <c r="X26" s="41" t="s">
        <v>36</v>
      </c>
      <c r="Y26" s="44" t="s">
        <v>92</v>
      </c>
      <c r="Z26" s="41" t="s">
        <v>36</v>
      </c>
    </row>
    <row r="27">
      <c r="A27" s="23">
        <v>23.0</v>
      </c>
      <c r="B27" s="24">
        <v>9.0</v>
      </c>
      <c r="C27" s="25">
        <v>2.0</v>
      </c>
      <c r="D27" s="35">
        <v>12.0</v>
      </c>
      <c r="E27" s="36">
        <v>2.0</v>
      </c>
      <c r="F27" s="38">
        <v>13.0</v>
      </c>
      <c r="G27" s="39">
        <v>2.0</v>
      </c>
      <c r="H27" s="11">
        <f t="shared" si="1"/>
        <v>6</v>
      </c>
      <c r="I27" s="10" t="s">
        <v>93</v>
      </c>
      <c r="J27" s="10" t="s">
        <v>94</v>
      </c>
      <c r="L27" s="41" t="s">
        <v>36</v>
      </c>
      <c r="M27" s="41" t="s">
        <v>95</v>
      </c>
      <c r="N27" s="41" t="s">
        <v>36</v>
      </c>
      <c r="P27" s="8"/>
      <c r="Q27" s="30">
        <f t="shared" si="2"/>
        <v>40</v>
      </c>
      <c r="R27" s="30">
        <f t="shared" si="3"/>
        <v>60</v>
      </c>
      <c r="S27" s="30">
        <f t="shared" si="4"/>
        <v>30</v>
      </c>
      <c r="T27" s="31">
        <f t="shared" si="5"/>
        <v>130</v>
      </c>
      <c r="U27" s="10" t="s">
        <v>93</v>
      </c>
      <c r="V27" s="10" t="s">
        <v>94</v>
      </c>
      <c r="X27" s="41" t="s">
        <v>36</v>
      </c>
      <c r="Y27" s="44" t="s">
        <v>95</v>
      </c>
      <c r="Z27" s="41" t="s">
        <v>36</v>
      </c>
    </row>
    <row r="28">
      <c r="A28" s="23">
        <v>24.0</v>
      </c>
      <c r="B28" s="24">
        <v>10.0</v>
      </c>
      <c r="C28" s="25">
        <v>1.0</v>
      </c>
      <c r="D28" s="26"/>
      <c r="E28" s="27"/>
      <c r="F28" s="28"/>
      <c r="G28" s="29"/>
      <c r="H28" s="11">
        <f t="shared" si="1"/>
        <v>1</v>
      </c>
      <c r="I28" s="10" t="s">
        <v>96</v>
      </c>
      <c r="J28" s="10" t="s">
        <v>97</v>
      </c>
      <c r="K28" s="41" t="s">
        <v>98</v>
      </c>
      <c r="L28" s="41" t="s">
        <v>66</v>
      </c>
      <c r="M28" s="41" t="s">
        <v>99</v>
      </c>
      <c r="N28" s="41" t="s">
        <v>31</v>
      </c>
      <c r="O28" s="41" t="s">
        <v>100</v>
      </c>
      <c r="P28" s="8"/>
      <c r="Q28" s="30">
        <f t="shared" si="2"/>
        <v>20</v>
      </c>
      <c r="R28" s="30">
        <f t="shared" si="3"/>
        <v>0</v>
      </c>
      <c r="S28" s="30">
        <f t="shared" si="4"/>
        <v>0</v>
      </c>
      <c r="T28" s="31">
        <f t="shared" si="5"/>
        <v>20</v>
      </c>
      <c r="U28" s="10" t="s">
        <v>96</v>
      </c>
      <c r="V28" s="10" t="s">
        <v>97</v>
      </c>
      <c r="W28" s="41" t="s">
        <v>98</v>
      </c>
      <c r="X28" s="41" t="s">
        <v>66</v>
      </c>
      <c r="Y28" s="42" t="s">
        <v>99</v>
      </c>
      <c r="Z28" s="41" t="s">
        <v>31</v>
      </c>
      <c r="AA28" s="41" t="s">
        <v>100</v>
      </c>
    </row>
    <row r="29">
      <c r="A29" s="23">
        <v>25.0</v>
      </c>
      <c r="B29" s="24">
        <v>11.0</v>
      </c>
      <c r="C29" s="25">
        <v>1.0</v>
      </c>
      <c r="D29" s="35">
        <v>13.0</v>
      </c>
      <c r="E29" s="36">
        <v>1.0</v>
      </c>
      <c r="F29" s="38">
        <v>14.0</v>
      </c>
      <c r="G29" s="39">
        <v>1.0</v>
      </c>
      <c r="H29" s="11">
        <f t="shared" si="1"/>
        <v>3</v>
      </c>
      <c r="I29" s="10" t="s">
        <v>101</v>
      </c>
      <c r="J29" s="10" t="s">
        <v>102</v>
      </c>
      <c r="K29" s="41" t="s">
        <v>35</v>
      </c>
      <c r="L29" s="41" t="s">
        <v>36</v>
      </c>
      <c r="M29" s="41" t="s">
        <v>103</v>
      </c>
      <c r="N29" s="41" t="s">
        <v>36</v>
      </c>
      <c r="P29" s="8"/>
      <c r="Q29" s="30">
        <f t="shared" si="2"/>
        <v>20</v>
      </c>
      <c r="R29" s="30">
        <f t="shared" si="3"/>
        <v>30</v>
      </c>
      <c r="S29" s="30">
        <f t="shared" si="4"/>
        <v>15</v>
      </c>
      <c r="T29" s="31">
        <f t="shared" si="5"/>
        <v>65</v>
      </c>
      <c r="U29" s="10" t="s">
        <v>101</v>
      </c>
      <c r="V29" s="10" t="s">
        <v>102</v>
      </c>
      <c r="W29" s="41" t="s">
        <v>35</v>
      </c>
      <c r="X29" s="41" t="s">
        <v>36</v>
      </c>
      <c r="Y29" s="44" t="s">
        <v>103</v>
      </c>
      <c r="Z29" s="41" t="s">
        <v>36</v>
      </c>
    </row>
    <row r="30">
      <c r="A30" s="23">
        <v>26.0</v>
      </c>
      <c r="B30" s="24">
        <v>12.0</v>
      </c>
      <c r="C30" s="25">
        <v>2.0</v>
      </c>
      <c r="D30" s="35">
        <v>14.0</v>
      </c>
      <c r="E30" s="36">
        <v>1.0</v>
      </c>
      <c r="F30" s="38">
        <v>15.0</v>
      </c>
      <c r="G30" s="39">
        <v>1.0</v>
      </c>
      <c r="H30" s="11">
        <f t="shared" si="1"/>
        <v>4</v>
      </c>
      <c r="I30" s="10" t="s">
        <v>104</v>
      </c>
      <c r="J30" s="10" t="s">
        <v>105</v>
      </c>
      <c r="K30" s="41" t="s">
        <v>106</v>
      </c>
      <c r="L30" s="41" t="s">
        <v>107</v>
      </c>
      <c r="M30" s="41" t="s">
        <v>108</v>
      </c>
      <c r="N30" s="41" t="s">
        <v>31</v>
      </c>
      <c r="O30" s="41" t="s">
        <v>109</v>
      </c>
      <c r="P30" s="8"/>
      <c r="Q30" s="30">
        <f t="shared" si="2"/>
        <v>40</v>
      </c>
      <c r="R30" s="30">
        <f t="shared" si="3"/>
        <v>30</v>
      </c>
      <c r="S30" s="30">
        <f t="shared" si="4"/>
        <v>15</v>
      </c>
      <c r="T30" s="31">
        <f t="shared" si="5"/>
        <v>85</v>
      </c>
      <c r="U30" s="10" t="s">
        <v>104</v>
      </c>
      <c r="V30" s="10" t="s">
        <v>105</v>
      </c>
      <c r="W30" s="41" t="s">
        <v>106</v>
      </c>
      <c r="X30" s="41" t="s">
        <v>107</v>
      </c>
      <c r="Y30" s="42" t="s">
        <v>108</v>
      </c>
      <c r="Z30" s="41" t="s">
        <v>31</v>
      </c>
      <c r="AA30" s="41" t="s">
        <v>109</v>
      </c>
    </row>
    <row r="31">
      <c r="A31" s="23">
        <v>27.0</v>
      </c>
      <c r="B31" s="33"/>
      <c r="C31" s="34"/>
      <c r="D31" s="35">
        <v>2.0</v>
      </c>
      <c r="E31" s="36">
        <v>4.0</v>
      </c>
      <c r="F31" s="28"/>
      <c r="G31" s="29"/>
      <c r="H31" s="11">
        <f t="shared" si="1"/>
        <v>4</v>
      </c>
      <c r="I31" s="10" t="s">
        <v>110</v>
      </c>
      <c r="J31" s="10" t="s">
        <v>111</v>
      </c>
      <c r="K31" s="43" t="s">
        <v>112</v>
      </c>
      <c r="L31" s="41" t="s">
        <v>113</v>
      </c>
      <c r="M31" s="41" t="s">
        <v>114</v>
      </c>
      <c r="N31" s="41" t="s">
        <v>31</v>
      </c>
      <c r="O31" s="41" t="s">
        <v>115</v>
      </c>
      <c r="P31" s="8"/>
      <c r="Q31" s="30">
        <f t="shared" si="2"/>
        <v>0</v>
      </c>
      <c r="R31" s="30">
        <f t="shared" si="3"/>
        <v>120</v>
      </c>
      <c r="S31" s="30">
        <f t="shared" si="4"/>
        <v>0</v>
      </c>
      <c r="T31" s="31">
        <f t="shared" si="5"/>
        <v>120</v>
      </c>
      <c r="U31" s="10" t="s">
        <v>110</v>
      </c>
      <c r="V31" s="10" t="s">
        <v>111</v>
      </c>
      <c r="W31" s="43" t="s">
        <v>112</v>
      </c>
      <c r="X31" s="41" t="s">
        <v>113</v>
      </c>
      <c r="Y31" s="42" t="s">
        <v>114</v>
      </c>
      <c r="Z31" s="41" t="s">
        <v>31</v>
      </c>
      <c r="AA31" s="41" t="s">
        <v>115</v>
      </c>
    </row>
    <row r="32">
      <c r="A32" s="23">
        <v>28.0</v>
      </c>
      <c r="B32" s="33"/>
      <c r="C32" s="34"/>
      <c r="D32" s="35">
        <v>3.0</v>
      </c>
      <c r="E32" s="36">
        <v>4.0</v>
      </c>
      <c r="F32" s="28"/>
      <c r="G32" s="29"/>
      <c r="H32" s="11">
        <f t="shared" si="1"/>
        <v>4</v>
      </c>
      <c r="I32" s="10" t="s">
        <v>116</v>
      </c>
      <c r="J32" s="10" t="s">
        <v>117</v>
      </c>
      <c r="K32" s="43" t="s">
        <v>118</v>
      </c>
      <c r="L32" s="41" t="s">
        <v>119</v>
      </c>
      <c r="M32" s="41" t="s">
        <v>120</v>
      </c>
      <c r="N32" s="41" t="s">
        <v>31</v>
      </c>
      <c r="O32" s="41" t="s">
        <v>121</v>
      </c>
      <c r="P32" s="8"/>
      <c r="Q32" s="30">
        <f t="shared" si="2"/>
        <v>0</v>
      </c>
      <c r="R32" s="30">
        <f t="shared" si="3"/>
        <v>120</v>
      </c>
      <c r="S32" s="30">
        <f t="shared" si="4"/>
        <v>0</v>
      </c>
      <c r="T32" s="31">
        <f t="shared" si="5"/>
        <v>120</v>
      </c>
      <c r="U32" s="10" t="s">
        <v>116</v>
      </c>
      <c r="V32" s="10" t="s">
        <v>117</v>
      </c>
      <c r="W32" s="43" t="s">
        <v>118</v>
      </c>
      <c r="X32" s="41" t="s">
        <v>119</v>
      </c>
      <c r="Y32" s="42" t="s">
        <v>120</v>
      </c>
      <c r="Z32" s="41" t="s">
        <v>31</v>
      </c>
      <c r="AA32" s="41" t="s">
        <v>121</v>
      </c>
    </row>
    <row r="33">
      <c r="A33" s="23">
        <v>29.0</v>
      </c>
      <c r="B33" s="24">
        <v>13.0</v>
      </c>
      <c r="C33" s="25">
        <v>4.0</v>
      </c>
      <c r="D33" s="35">
        <v>15.0</v>
      </c>
      <c r="E33" s="36">
        <v>4.0</v>
      </c>
      <c r="F33" s="38">
        <v>16.0</v>
      </c>
      <c r="G33" s="39">
        <v>4.0</v>
      </c>
      <c r="H33" s="11">
        <f t="shared" si="1"/>
        <v>12</v>
      </c>
      <c r="I33" s="10" t="s">
        <v>122</v>
      </c>
      <c r="K33" s="41" t="s">
        <v>123</v>
      </c>
      <c r="L33" s="43"/>
      <c r="M33" s="41" t="s">
        <v>124</v>
      </c>
      <c r="N33" s="43"/>
      <c r="O33" s="43"/>
      <c r="P33" s="8"/>
      <c r="Q33" s="30">
        <f t="shared" si="2"/>
        <v>80</v>
      </c>
      <c r="R33" s="30">
        <f t="shared" si="3"/>
        <v>120</v>
      </c>
      <c r="S33" s="30">
        <f t="shared" si="4"/>
        <v>60</v>
      </c>
      <c r="T33" s="31">
        <f t="shared" si="5"/>
        <v>260</v>
      </c>
      <c r="U33" s="10" t="s">
        <v>122</v>
      </c>
      <c r="W33" s="41" t="s">
        <v>123</v>
      </c>
      <c r="X33" s="43"/>
      <c r="Y33" s="41" t="s">
        <v>124</v>
      </c>
      <c r="Z33" s="47" t="s">
        <v>125</v>
      </c>
      <c r="AA33" s="43"/>
    </row>
    <row r="34">
      <c r="A34" s="23">
        <v>30.0</v>
      </c>
      <c r="B34" s="24">
        <v>14.0</v>
      </c>
      <c r="C34" s="25">
        <v>4.0</v>
      </c>
      <c r="D34" s="35">
        <v>16.0</v>
      </c>
      <c r="E34" s="36">
        <v>4.0</v>
      </c>
      <c r="F34" s="38">
        <v>17.0</v>
      </c>
      <c r="G34" s="39">
        <v>4.0</v>
      </c>
      <c r="H34" s="11">
        <f t="shared" si="1"/>
        <v>12</v>
      </c>
      <c r="I34" s="10" t="s">
        <v>126</v>
      </c>
      <c r="K34" s="41" t="s">
        <v>127</v>
      </c>
      <c r="L34" s="43"/>
      <c r="M34" s="41" t="s">
        <v>128</v>
      </c>
      <c r="N34" s="43"/>
      <c r="O34" s="43"/>
      <c r="P34" s="8"/>
      <c r="Q34" s="30">
        <f t="shared" si="2"/>
        <v>80</v>
      </c>
      <c r="R34" s="30">
        <f t="shared" si="3"/>
        <v>120</v>
      </c>
      <c r="S34" s="30">
        <f t="shared" si="4"/>
        <v>60</v>
      </c>
      <c r="T34" s="31">
        <f t="shared" si="5"/>
        <v>260</v>
      </c>
      <c r="U34" s="10" t="s">
        <v>126</v>
      </c>
      <c r="W34" s="41" t="s">
        <v>127</v>
      </c>
      <c r="X34" s="43"/>
      <c r="Y34" s="41" t="s">
        <v>128</v>
      </c>
      <c r="Z34" s="47" t="s">
        <v>125</v>
      </c>
      <c r="AA34" s="43"/>
    </row>
    <row r="35">
      <c r="A35" s="23">
        <v>31.0</v>
      </c>
      <c r="B35" s="24">
        <v>15.0</v>
      </c>
      <c r="C35" s="25">
        <v>4.0</v>
      </c>
      <c r="D35" s="35">
        <v>17.0</v>
      </c>
      <c r="E35" s="36">
        <v>4.0</v>
      </c>
      <c r="F35" s="38">
        <v>18.0</v>
      </c>
      <c r="G35" s="39">
        <v>4.0</v>
      </c>
      <c r="H35" s="11">
        <f t="shared" si="1"/>
        <v>12</v>
      </c>
      <c r="I35" s="10" t="s">
        <v>129</v>
      </c>
      <c r="K35" s="48" t="s">
        <v>130</v>
      </c>
      <c r="L35" s="41" t="s">
        <v>131</v>
      </c>
      <c r="M35" s="49" t="s">
        <v>132</v>
      </c>
      <c r="N35" s="41" t="s">
        <v>133</v>
      </c>
      <c r="O35" s="41" t="s">
        <v>134</v>
      </c>
      <c r="P35" s="8"/>
      <c r="Q35" s="30">
        <f t="shared" si="2"/>
        <v>80</v>
      </c>
      <c r="R35" s="30">
        <f t="shared" si="3"/>
        <v>120</v>
      </c>
      <c r="S35" s="30">
        <f t="shared" si="4"/>
        <v>60</v>
      </c>
      <c r="T35" s="31">
        <f t="shared" si="5"/>
        <v>260</v>
      </c>
      <c r="U35" s="10" t="s">
        <v>129</v>
      </c>
      <c r="W35" s="48" t="s">
        <v>130</v>
      </c>
      <c r="X35" s="41" t="s">
        <v>131</v>
      </c>
      <c r="Y35" s="50" t="s">
        <v>132</v>
      </c>
      <c r="Z35" s="41" t="s">
        <v>133</v>
      </c>
      <c r="AA35" s="41" t="s">
        <v>134</v>
      </c>
    </row>
    <row r="36">
      <c r="A36" s="23">
        <v>32.0</v>
      </c>
      <c r="B36" s="24">
        <v>16.0</v>
      </c>
      <c r="C36" s="25">
        <v>8.0</v>
      </c>
      <c r="D36" s="35">
        <v>18.0</v>
      </c>
      <c r="E36" s="36">
        <v>8.0</v>
      </c>
      <c r="F36" s="38">
        <v>19.0</v>
      </c>
      <c r="G36" s="39">
        <v>8.0</v>
      </c>
      <c r="H36" s="11">
        <f t="shared" si="1"/>
        <v>24</v>
      </c>
      <c r="I36" s="10" t="s">
        <v>135</v>
      </c>
      <c r="K36" s="48" t="s">
        <v>136</v>
      </c>
      <c r="L36" s="41" t="s">
        <v>131</v>
      </c>
      <c r="M36" s="48" t="s">
        <v>137</v>
      </c>
      <c r="N36" s="41" t="s">
        <v>133</v>
      </c>
      <c r="O36" s="41" t="s">
        <v>138</v>
      </c>
      <c r="P36" s="8"/>
      <c r="Q36" s="30">
        <f t="shared" si="2"/>
        <v>160</v>
      </c>
      <c r="R36" s="30">
        <f t="shared" si="3"/>
        <v>240</v>
      </c>
      <c r="S36" s="30">
        <f t="shared" si="4"/>
        <v>120</v>
      </c>
      <c r="T36" s="31">
        <f t="shared" si="5"/>
        <v>520</v>
      </c>
      <c r="U36" s="10" t="s">
        <v>135</v>
      </c>
      <c r="W36" s="48" t="s">
        <v>136</v>
      </c>
      <c r="X36" s="41" t="s">
        <v>131</v>
      </c>
      <c r="Y36" s="50" t="s">
        <v>137</v>
      </c>
      <c r="Z36" s="41" t="s">
        <v>133</v>
      </c>
      <c r="AA36" s="41" t="s">
        <v>138</v>
      </c>
    </row>
    <row r="37">
      <c r="A37" s="23">
        <v>33.0</v>
      </c>
      <c r="B37" s="32">
        <v>45689.0</v>
      </c>
      <c r="C37" s="25">
        <v>2.0</v>
      </c>
      <c r="D37" s="26"/>
      <c r="E37" s="27"/>
      <c r="F37" s="28"/>
      <c r="G37" s="29"/>
      <c r="H37" s="11">
        <f t="shared" si="1"/>
        <v>2</v>
      </c>
      <c r="I37" s="43" t="s">
        <v>139</v>
      </c>
      <c r="J37" s="43"/>
      <c r="K37" s="43"/>
      <c r="L37" s="41" t="s">
        <v>29</v>
      </c>
      <c r="M37" s="41">
        <v>5.106502E8</v>
      </c>
      <c r="N37" s="41" t="s">
        <v>31</v>
      </c>
      <c r="O37" s="41" t="s">
        <v>140</v>
      </c>
      <c r="P37" s="8"/>
      <c r="Q37" s="30">
        <f t="shared" si="2"/>
        <v>40</v>
      </c>
      <c r="R37" s="30">
        <f t="shared" si="3"/>
        <v>0</v>
      </c>
      <c r="S37" s="30">
        <f t="shared" si="4"/>
        <v>0</v>
      </c>
      <c r="T37" s="31">
        <f t="shared" si="5"/>
        <v>40</v>
      </c>
      <c r="U37" s="43" t="s">
        <v>139</v>
      </c>
      <c r="V37" s="43"/>
      <c r="W37" s="43"/>
      <c r="X37" s="41" t="s">
        <v>29</v>
      </c>
      <c r="Y37" s="42">
        <v>5.106502E8</v>
      </c>
      <c r="Z37" s="41" t="s">
        <v>31</v>
      </c>
      <c r="AA37" s="41" t="s">
        <v>140</v>
      </c>
    </row>
    <row r="38">
      <c r="A38" s="23">
        <v>34.0</v>
      </c>
      <c r="B38" s="51">
        <v>45690.0</v>
      </c>
      <c r="C38" s="52">
        <v>1.0</v>
      </c>
      <c r="D38" s="26"/>
      <c r="E38" s="27"/>
      <c r="F38" s="28"/>
      <c r="G38" s="29"/>
      <c r="H38" s="11">
        <f t="shared" si="1"/>
        <v>1</v>
      </c>
      <c r="I38" s="43" t="s">
        <v>141</v>
      </c>
      <c r="J38" s="43" t="s">
        <v>142</v>
      </c>
      <c r="K38" s="43"/>
      <c r="L38" s="41" t="s">
        <v>29</v>
      </c>
      <c r="M38" s="41" t="s">
        <v>143</v>
      </c>
      <c r="N38" s="41" t="s">
        <v>31</v>
      </c>
      <c r="O38" s="41" t="s">
        <v>144</v>
      </c>
      <c r="P38" s="8"/>
      <c r="Q38" s="30">
        <f t="shared" si="2"/>
        <v>20</v>
      </c>
      <c r="R38" s="30">
        <f t="shared" si="3"/>
        <v>0</v>
      </c>
      <c r="S38" s="30">
        <f t="shared" si="4"/>
        <v>0</v>
      </c>
      <c r="T38" s="31">
        <f t="shared" si="5"/>
        <v>20</v>
      </c>
      <c r="U38" s="43" t="s">
        <v>141</v>
      </c>
      <c r="V38" s="43" t="s">
        <v>142</v>
      </c>
      <c r="W38" s="43"/>
      <c r="X38" s="41" t="s">
        <v>29</v>
      </c>
      <c r="Y38" s="42" t="s">
        <v>143</v>
      </c>
      <c r="Z38" s="41" t="s">
        <v>31</v>
      </c>
      <c r="AA38" s="41" t="s">
        <v>144</v>
      </c>
    </row>
    <row r="39">
      <c r="A39" s="23">
        <v>35.0</v>
      </c>
      <c r="B39" s="51">
        <v>45691.0</v>
      </c>
      <c r="C39" s="52">
        <v>1.0</v>
      </c>
      <c r="D39" s="26"/>
      <c r="E39" s="27"/>
      <c r="F39" s="28"/>
      <c r="G39" s="29"/>
      <c r="H39" s="11">
        <f t="shared" si="1"/>
        <v>1</v>
      </c>
      <c r="I39" s="43" t="s">
        <v>141</v>
      </c>
      <c r="J39" s="43" t="s">
        <v>145</v>
      </c>
      <c r="K39" s="43"/>
      <c r="L39" s="41" t="s">
        <v>29</v>
      </c>
      <c r="M39" s="41" t="s">
        <v>146</v>
      </c>
      <c r="N39" s="41" t="s">
        <v>31</v>
      </c>
      <c r="O39" s="41" t="s">
        <v>147</v>
      </c>
      <c r="P39" s="8"/>
      <c r="Q39" s="30">
        <f t="shared" si="2"/>
        <v>20</v>
      </c>
      <c r="R39" s="30">
        <f t="shared" si="3"/>
        <v>0</v>
      </c>
      <c r="S39" s="30">
        <f t="shared" si="4"/>
        <v>0</v>
      </c>
      <c r="T39" s="31">
        <f t="shared" si="5"/>
        <v>20</v>
      </c>
      <c r="U39" s="43" t="s">
        <v>141</v>
      </c>
      <c r="V39" s="43" t="s">
        <v>145</v>
      </c>
      <c r="W39" s="43"/>
      <c r="X39" s="41" t="s">
        <v>29</v>
      </c>
      <c r="Y39" s="42" t="s">
        <v>146</v>
      </c>
      <c r="Z39" s="41" t="s">
        <v>31</v>
      </c>
      <c r="AA39" s="41" t="s">
        <v>147</v>
      </c>
    </row>
    <row r="40">
      <c r="A40" s="23">
        <v>36.0</v>
      </c>
      <c r="B40" s="51">
        <v>45692.0</v>
      </c>
      <c r="C40" s="52">
        <v>1.0</v>
      </c>
      <c r="D40" s="26"/>
      <c r="E40" s="27"/>
      <c r="F40" s="28"/>
      <c r="G40" s="29"/>
      <c r="H40" s="11">
        <f t="shared" si="1"/>
        <v>1</v>
      </c>
      <c r="I40" s="43" t="s">
        <v>148</v>
      </c>
      <c r="J40" s="43" t="s">
        <v>149</v>
      </c>
      <c r="K40" s="43"/>
      <c r="L40" s="41" t="s">
        <v>29</v>
      </c>
      <c r="M40" s="41" t="s">
        <v>150</v>
      </c>
      <c r="N40" s="41" t="s">
        <v>31</v>
      </c>
      <c r="O40" s="41" t="s">
        <v>151</v>
      </c>
      <c r="P40" s="8"/>
      <c r="Q40" s="30">
        <f t="shared" si="2"/>
        <v>20</v>
      </c>
      <c r="R40" s="30">
        <f t="shared" si="3"/>
        <v>0</v>
      </c>
      <c r="S40" s="30">
        <f t="shared" si="4"/>
        <v>0</v>
      </c>
      <c r="T40" s="31">
        <f t="shared" si="5"/>
        <v>20</v>
      </c>
      <c r="U40" s="43" t="s">
        <v>148</v>
      </c>
      <c r="V40" s="43" t="s">
        <v>149</v>
      </c>
      <c r="W40" s="43"/>
      <c r="X40" s="41" t="s">
        <v>29</v>
      </c>
      <c r="Y40" s="42" t="s">
        <v>150</v>
      </c>
      <c r="Z40" s="41" t="s">
        <v>31</v>
      </c>
      <c r="AA40" s="41" t="s">
        <v>151</v>
      </c>
    </row>
    <row r="41">
      <c r="A41" s="23">
        <v>37.0</v>
      </c>
      <c r="B41" s="51">
        <v>45693.0</v>
      </c>
      <c r="C41" s="52">
        <v>1.0</v>
      </c>
      <c r="D41" s="26"/>
      <c r="E41" s="27"/>
      <c r="F41" s="28"/>
      <c r="G41" s="29"/>
      <c r="H41" s="11">
        <f t="shared" si="1"/>
        <v>1</v>
      </c>
      <c r="I41" s="43" t="s">
        <v>148</v>
      </c>
      <c r="J41" s="43" t="s">
        <v>152</v>
      </c>
      <c r="K41" s="43"/>
      <c r="L41" s="41" t="s">
        <v>29</v>
      </c>
      <c r="M41" s="41" t="s">
        <v>153</v>
      </c>
      <c r="N41" s="41" t="s">
        <v>31</v>
      </c>
      <c r="O41" s="41" t="s">
        <v>154</v>
      </c>
      <c r="P41" s="8"/>
      <c r="Q41" s="30">
        <f t="shared" si="2"/>
        <v>20</v>
      </c>
      <c r="R41" s="30">
        <f t="shared" si="3"/>
        <v>0</v>
      </c>
      <c r="S41" s="30">
        <f t="shared" si="4"/>
        <v>0</v>
      </c>
      <c r="T41" s="31">
        <f t="shared" si="5"/>
        <v>20</v>
      </c>
      <c r="U41" s="43" t="s">
        <v>148</v>
      </c>
      <c r="V41" s="43" t="s">
        <v>152</v>
      </c>
      <c r="W41" s="43"/>
      <c r="X41" s="41" t="s">
        <v>29</v>
      </c>
      <c r="Y41" s="42" t="s">
        <v>153</v>
      </c>
      <c r="Z41" s="41" t="s">
        <v>31</v>
      </c>
      <c r="AA41" s="41" t="s">
        <v>154</v>
      </c>
    </row>
    <row r="42">
      <c r="A42" s="23">
        <v>38.0</v>
      </c>
      <c r="B42" s="51">
        <v>45717.0</v>
      </c>
      <c r="C42" s="52">
        <v>1.0</v>
      </c>
      <c r="D42" s="37">
        <v>45748.0</v>
      </c>
      <c r="E42" s="36">
        <v>1.0</v>
      </c>
      <c r="F42" s="40">
        <v>45689.0</v>
      </c>
      <c r="G42" s="39">
        <v>1.0</v>
      </c>
      <c r="H42" s="11">
        <f t="shared" si="1"/>
        <v>3</v>
      </c>
      <c r="I42" s="43" t="s">
        <v>155</v>
      </c>
      <c r="J42" s="43" t="s">
        <v>156</v>
      </c>
      <c r="K42" s="43" t="s">
        <v>157</v>
      </c>
      <c r="L42" s="41" t="s">
        <v>36</v>
      </c>
      <c r="M42" s="41" t="s">
        <v>158</v>
      </c>
      <c r="N42" s="41" t="s">
        <v>31</v>
      </c>
      <c r="O42" s="48" t="s">
        <v>159</v>
      </c>
      <c r="P42" s="8"/>
      <c r="Q42" s="30">
        <f t="shared" si="2"/>
        <v>20</v>
      </c>
      <c r="R42" s="30">
        <f t="shared" si="3"/>
        <v>30</v>
      </c>
      <c r="S42" s="30">
        <f t="shared" si="4"/>
        <v>15</v>
      </c>
      <c r="T42" s="31">
        <f t="shared" si="5"/>
        <v>65</v>
      </c>
      <c r="U42" s="43" t="s">
        <v>155</v>
      </c>
      <c r="V42" s="43" t="s">
        <v>156</v>
      </c>
      <c r="W42" s="43" t="s">
        <v>157</v>
      </c>
      <c r="X42" s="41" t="s">
        <v>36</v>
      </c>
      <c r="Y42" s="42" t="s">
        <v>158</v>
      </c>
      <c r="Z42" s="41" t="s">
        <v>31</v>
      </c>
      <c r="AA42" s="48" t="s">
        <v>159</v>
      </c>
    </row>
    <row r="43">
      <c r="A43" s="23">
        <v>39.0</v>
      </c>
      <c r="B43" s="51">
        <v>45748.0</v>
      </c>
      <c r="C43" s="52">
        <v>7.0</v>
      </c>
      <c r="D43" s="26"/>
      <c r="E43" s="27"/>
      <c r="F43" s="28"/>
      <c r="G43" s="29"/>
      <c r="H43" s="11">
        <f t="shared" si="1"/>
        <v>7</v>
      </c>
      <c r="I43" s="43" t="s">
        <v>160</v>
      </c>
      <c r="J43" s="43" t="s">
        <v>161</v>
      </c>
      <c r="K43" s="43"/>
      <c r="L43" s="41" t="s">
        <v>36</v>
      </c>
      <c r="M43" s="41" t="s">
        <v>162</v>
      </c>
      <c r="N43" s="41" t="s">
        <v>36</v>
      </c>
      <c r="P43" s="8"/>
      <c r="Q43" s="30">
        <f t="shared" si="2"/>
        <v>140</v>
      </c>
      <c r="R43" s="30">
        <f t="shared" si="3"/>
        <v>0</v>
      </c>
      <c r="S43" s="30">
        <f t="shared" si="4"/>
        <v>0</v>
      </c>
      <c r="T43" s="31">
        <f t="shared" si="5"/>
        <v>140</v>
      </c>
      <c r="U43" s="43" t="s">
        <v>160</v>
      </c>
      <c r="V43" s="43" t="s">
        <v>161</v>
      </c>
      <c r="W43" s="43"/>
      <c r="X43" s="41" t="s">
        <v>36</v>
      </c>
      <c r="Y43" s="44" t="s">
        <v>162</v>
      </c>
      <c r="Z43" s="41" t="s">
        <v>36</v>
      </c>
    </row>
    <row r="44">
      <c r="A44" s="23">
        <v>40.0</v>
      </c>
      <c r="B44" s="51">
        <v>45778.0</v>
      </c>
      <c r="C44" s="52">
        <v>1.0</v>
      </c>
      <c r="D44" s="26"/>
      <c r="E44" s="27"/>
      <c r="F44" s="28"/>
      <c r="G44" s="29"/>
      <c r="H44" s="11">
        <f t="shared" si="1"/>
        <v>1</v>
      </c>
      <c r="I44" s="43" t="s">
        <v>163</v>
      </c>
      <c r="J44" s="43" t="s">
        <v>164</v>
      </c>
      <c r="K44" s="43"/>
      <c r="L44" s="41" t="s">
        <v>36</v>
      </c>
      <c r="M44" s="41" t="s">
        <v>165</v>
      </c>
      <c r="N44" s="41" t="s">
        <v>36</v>
      </c>
      <c r="P44" s="8"/>
      <c r="Q44" s="30">
        <f t="shared" si="2"/>
        <v>20</v>
      </c>
      <c r="R44" s="30">
        <f t="shared" si="3"/>
        <v>0</v>
      </c>
      <c r="S44" s="30">
        <f t="shared" si="4"/>
        <v>0</v>
      </c>
      <c r="T44" s="31">
        <f t="shared" si="5"/>
        <v>20</v>
      </c>
      <c r="U44" s="43" t="s">
        <v>163</v>
      </c>
      <c r="V44" s="43" t="s">
        <v>164</v>
      </c>
      <c r="W44" s="43"/>
      <c r="X44" s="41" t="s">
        <v>36</v>
      </c>
      <c r="Y44" s="44" t="s">
        <v>165</v>
      </c>
      <c r="Z44" s="41" t="s">
        <v>36</v>
      </c>
    </row>
    <row r="45">
      <c r="A45" s="23">
        <v>41.0</v>
      </c>
      <c r="B45" s="51">
        <v>45809.0</v>
      </c>
      <c r="C45" s="52">
        <v>3.0</v>
      </c>
      <c r="D45" s="26"/>
      <c r="E45" s="27"/>
      <c r="F45" s="28"/>
      <c r="G45" s="29"/>
      <c r="H45" s="11">
        <f t="shared" si="1"/>
        <v>3</v>
      </c>
      <c r="I45" s="43" t="s">
        <v>166</v>
      </c>
      <c r="J45" s="43"/>
      <c r="K45" s="43"/>
      <c r="P45" s="8"/>
      <c r="Q45" s="30">
        <f t="shared" si="2"/>
        <v>60</v>
      </c>
      <c r="R45" s="30">
        <f t="shared" si="3"/>
        <v>0</v>
      </c>
      <c r="S45" s="30">
        <f t="shared" si="4"/>
        <v>0</v>
      </c>
      <c r="T45" s="31">
        <f t="shared" si="5"/>
        <v>60</v>
      </c>
      <c r="U45" s="43" t="s">
        <v>166</v>
      </c>
      <c r="V45" s="43"/>
      <c r="W45" s="43"/>
    </row>
    <row r="46">
      <c r="A46" s="23">
        <v>42.0</v>
      </c>
      <c r="B46" s="33"/>
      <c r="C46" s="34"/>
      <c r="D46" s="53">
        <v>45778.0</v>
      </c>
      <c r="E46" s="54">
        <v>1.0</v>
      </c>
      <c r="F46" s="55">
        <v>45717.0</v>
      </c>
      <c r="G46" s="56">
        <v>1.0</v>
      </c>
      <c r="H46" s="11">
        <f t="shared" si="1"/>
        <v>2</v>
      </c>
      <c r="I46" s="43" t="s">
        <v>167</v>
      </c>
      <c r="J46" s="43"/>
      <c r="P46" s="8"/>
      <c r="Q46" s="30">
        <f t="shared" si="2"/>
        <v>0</v>
      </c>
      <c r="R46" s="30">
        <f t="shared" si="3"/>
        <v>30</v>
      </c>
      <c r="S46" s="30">
        <f t="shared" si="4"/>
        <v>15</v>
      </c>
      <c r="T46" s="31">
        <f t="shared" si="5"/>
        <v>45</v>
      </c>
      <c r="U46" s="43" t="s">
        <v>167</v>
      </c>
      <c r="V46" s="43"/>
    </row>
    <row r="47">
      <c r="A47" s="23">
        <v>43.0</v>
      </c>
      <c r="B47" s="33"/>
      <c r="C47" s="34"/>
      <c r="D47" s="53">
        <v>45779.0</v>
      </c>
      <c r="E47" s="54">
        <v>4.0</v>
      </c>
      <c r="F47" s="55">
        <v>45718.0</v>
      </c>
      <c r="G47" s="56">
        <v>4.0</v>
      </c>
      <c r="H47" s="11">
        <f t="shared" si="1"/>
        <v>8</v>
      </c>
      <c r="I47" s="43" t="s">
        <v>168</v>
      </c>
      <c r="J47" s="43"/>
      <c r="P47" s="8"/>
      <c r="Q47" s="30">
        <f t="shared" si="2"/>
        <v>0</v>
      </c>
      <c r="R47" s="30">
        <f t="shared" si="3"/>
        <v>120</v>
      </c>
      <c r="S47" s="30">
        <f t="shared" si="4"/>
        <v>60</v>
      </c>
      <c r="T47" s="31">
        <f t="shared" si="5"/>
        <v>180</v>
      </c>
      <c r="U47" s="43" t="s">
        <v>168</v>
      </c>
      <c r="V47" s="43"/>
    </row>
    <row r="48">
      <c r="A48" s="23">
        <v>44.0</v>
      </c>
      <c r="B48" s="33"/>
      <c r="C48" s="34"/>
      <c r="D48" s="53">
        <v>45809.0</v>
      </c>
      <c r="E48" s="54">
        <v>1.0</v>
      </c>
      <c r="F48" s="55">
        <v>45748.0</v>
      </c>
      <c r="G48" s="56">
        <v>1.0</v>
      </c>
      <c r="H48" s="11">
        <f t="shared" si="1"/>
        <v>2</v>
      </c>
      <c r="I48" s="43" t="s">
        <v>169</v>
      </c>
      <c r="J48" s="43" t="s">
        <v>170</v>
      </c>
      <c r="L48" s="41" t="s">
        <v>36</v>
      </c>
      <c r="M48" s="41" t="s">
        <v>171</v>
      </c>
      <c r="N48" s="41" t="s">
        <v>36</v>
      </c>
      <c r="O48" s="43"/>
      <c r="P48" s="8"/>
      <c r="Q48" s="30">
        <f t="shared" si="2"/>
        <v>0</v>
      </c>
      <c r="R48" s="30">
        <f t="shared" si="3"/>
        <v>30</v>
      </c>
      <c r="S48" s="30">
        <f t="shared" si="4"/>
        <v>15</v>
      </c>
      <c r="T48" s="31">
        <f t="shared" si="5"/>
        <v>45</v>
      </c>
      <c r="U48" s="43" t="s">
        <v>169</v>
      </c>
      <c r="V48" s="43" t="s">
        <v>170</v>
      </c>
      <c r="X48" s="41" t="s">
        <v>36</v>
      </c>
      <c r="Y48" s="44" t="s">
        <v>171</v>
      </c>
      <c r="Z48" s="41" t="s">
        <v>36</v>
      </c>
      <c r="AA48" s="43"/>
    </row>
    <row r="49">
      <c r="A49" s="23">
        <v>45.0</v>
      </c>
      <c r="B49" s="33"/>
      <c r="C49" s="34"/>
      <c r="D49" s="26"/>
      <c r="E49" s="27"/>
      <c r="F49" s="55">
        <v>45778.0</v>
      </c>
      <c r="G49" s="56">
        <v>1.0</v>
      </c>
      <c r="H49" s="11">
        <f t="shared" si="1"/>
        <v>1</v>
      </c>
      <c r="I49" s="43" t="s">
        <v>172</v>
      </c>
      <c r="J49" s="43" t="s">
        <v>173</v>
      </c>
      <c r="L49" s="41" t="s">
        <v>29</v>
      </c>
      <c r="M49" s="41">
        <v>5.106505E8</v>
      </c>
      <c r="N49" s="41" t="s">
        <v>31</v>
      </c>
      <c r="O49" s="41" t="s">
        <v>174</v>
      </c>
      <c r="P49" s="8"/>
      <c r="Q49" s="30">
        <f t="shared" si="2"/>
        <v>0</v>
      </c>
      <c r="R49" s="30">
        <f t="shared" si="3"/>
        <v>0</v>
      </c>
      <c r="S49" s="30">
        <f t="shared" si="4"/>
        <v>15</v>
      </c>
      <c r="T49" s="31">
        <f t="shared" si="5"/>
        <v>15</v>
      </c>
      <c r="U49" s="43" t="s">
        <v>172</v>
      </c>
      <c r="V49" s="43" t="s">
        <v>173</v>
      </c>
      <c r="X49" s="41" t="s">
        <v>29</v>
      </c>
      <c r="Y49" s="42">
        <v>5.106505E8</v>
      </c>
      <c r="Z49" s="41" t="s">
        <v>31</v>
      </c>
      <c r="AA49" s="41" t="s">
        <v>174</v>
      </c>
    </row>
    <row r="50">
      <c r="A50" s="23">
        <v>46.0</v>
      </c>
      <c r="B50" s="33"/>
      <c r="C50" s="34"/>
      <c r="D50" s="26"/>
      <c r="E50" s="27"/>
      <c r="F50" s="55">
        <v>45779.0</v>
      </c>
      <c r="G50" s="56">
        <v>1.0</v>
      </c>
      <c r="H50" s="11">
        <f t="shared" si="1"/>
        <v>1</v>
      </c>
      <c r="I50" s="43" t="s">
        <v>175</v>
      </c>
      <c r="J50" s="43" t="s">
        <v>149</v>
      </c>
      <c r="L50" s="41" t="s">
        <v>29</v>
      </c>
      <c r="M50" s="41" t="s">
        <v>176</v>
      </c>
      <c r="N50" s="41" t="s">
        <v>31</v>
      </c>
      <c r="O50" s="41" t="s">
        <v>177</v>
      </c>
      <c r="P50" s="8"/>
      <c r="Q50" s="30">
        <f t="shared" si="2"/>
        <v>0</v>
      </c>
      <c r="R50" s="30">
        <f t="shared" si="3"/>
        <v>0</v>
      </c>
      <c r="S50" s="30">
        <f t="shared" si="4"/>
        <v>15</v>
      </c>
      <c r="T50" s="31">
        <f t="shared" si="5"/>
        <v>15</v>
      </c>
      <c r="U50" s="43" t="s">
        <v>175</v>
      </c>
      <c r="V50" s="43" t="s">
        <v>149</v>
      </c>
      <c r="X50" s="41" t="s">
        <v>29</v>
      </c>
      <c r="Y50" s="42" t="s">
        <v>176</v>
      </c>
      <c r="Z50" s="41" t="s">
        <v>31</v>
      </c>
      <c r="AA50" s="41" t="s">
        <v>177</v>
      </c>
    </row>
    <row r="51">
      <c r="A51" s="23">
        <v>47.0</v>
      </c>
      <c r="B51" s="33"/>
      <c r="C51" s="34"/>
      <c r="D51" s="26"/>
      <c r="E51" s="27"/>
      <c r="F51" s="55">
        <v>45780.0</v>
      </c>
      <c r="G51" s="56">
        <v>1.0</v>
      </c>
      <c r="H51" s="11">
        <f t="shared" si="1"/>
        <v>1</v>
      </c>
      <c r="I51" s="43" t="s">
        <v>175</v>
      </c>
      <c r="J51" s="43" t="s">
        <v>178</v>
      </c>
      <c r="L51" s="41" t="s">
        <v>29</v>
      </c>
      <c r="M51" s="41" t="s">
        <v>179</v>
      </c>
      <c r="N51" s="41" t="s">
        <v>31</v>
      </c>
      <c r="O51" s="41" t="s">
        <v>180</v>
      </c>
      <c r="P51" s="8"/>
      <c r="Q51" s="30">
        <f t="shared" si="2"/>
        <v>0</v>
      </c>
      <c r="R51" s="30">
        <f t="shared" si="3"/>
        <v>0</v>
      </c>
      <c r="S51" s="30">
        <f t="shared" si="4"/>
        <v>15</v>
      </c>
      <c r="T51" s="31">
        <f t="shared" si="5"/>
        <v>15</v>
      </c>
      <c r="U51" s="43" t="s">
        <v>175</v>
      </c>
      <c r="V51" s="43" t="s">
        <v>178</v>
      </c>
      <c r="X51" s="41" t="s">
        <v>29</v>
      </c>
      <c r="Y51" s="42" t="s">
        <v>179</v>
      </c>
      <c r="Z51" s="41" t="s">
        <v>31</v>
      </c>
      <c r="AA51" s="41" t="s">
        <v>180</v>
      </c>
    </row>
    <row r="52">
      <c r="A52" s="23">
        <v>48.0</v>
      </c>
      <c r="B52" s="33"/>
      <c r="C52" s="34"/>
      <c r="D52" s="26"/>
      <c r="E52" s="27"/>
      <c r="F52" s="55">
        <v>45781.0</v>
      </c>
      <c r="G52" s="56">
        <v>1.0</v>
      </c>
      <c r="H52" s="11">
        <f t="shared" si="1"/>
        <v>1</v>
      </c>
      <c r="I52" s="43" t="s">
        <v>175</v>
      </c>
      <c r="J52" s="43" t="s">
        <v>145</v>
      </c>
      <c r="L52" s="41" t="s">
        <v>29</v>
      </c>
      <c r="M52" s="41" t="s">
        <v>181</v>
      </c>
      <c r="N52" s="41" t="s">
        <v>31</v>
      </c>
      <c r="O52" s="41" t="s">
        <v>182</v>
      </c>
      <c r="P52" s="8"/>
      <c r="Q52" s="30">
        <f t="shared" si="2"/>
        <v>0</v>
      </c>
      <c r="R52" s="30">
        <f t="shared" si="3"/>
        <v>0</v>
      </c>
      <c r="S52" s="30">
        <f t="shared" si="4"/>
        <v>15</v>
      </c>
      <c r="T52" s="31">
        <f t="shared" si="5"/>
        <v>15</v>
      </c>
      <c r="U52" s="43" t="s">
        <v>175</v>
      </c>
      <c r="V52" s="43" t="s">
        <v>145</v>
      </c>
      <c r="X52" s="41" t="s">
        <v>29</v>
      </c>
      <c r="Y52" s="42" t="s">
        <v>181</v>
      </c>
      <c r="Z52" s="41" t="s">
        <v>31</v>
      </c>
      <c r="AA52" s="41" t="s">
        <v>182</v>
      </c>
    </row>
    <row r="53">
      <c r="A53" s="23">
        <v>49.0</v>
      </c>
      <c r="B53" s="33"/>
      <c r="C53" s="34"/>
      <c r="D53" s="26"/>
      <c r="E53" s="27"/>
      <c r="F53" s="55">
        <v>45782.0</v>
      </c>
      <c r="G53" s="56">
        <v>1.0</v>
      </c>
      <c r="H53" s="11">
        <f t="shared" si="1"/>
        <v>1</v>
      </c>
      <c r="I53" s="43" t="s">
        <v>175</v>
      </c>
      <c r="J53" s="43" t="s">
        <v>142</v>
      </c>
      <c r="L53" s="41" t="s">
        <v>29</v>
      </c>
      <c r="M53" s="41" t="s">
        <v>183</v>
      </c>
      <c r="N53" s="41" t="s">
        <v>31</v>
      </c>
      <c r="O53" s="41" t="s">
        <v>184</v>
      </c>
      <c r="P53" s="8"/>
      <c r="Q53" s="30">
        <f t="shared" si="2"/>
        <v>0</v>
      </c>
      <c r="R53" s="30">
        <f t="shared" si="3"/>
        <v>0</v>
      </c>
      <c r="S53" s="30">
        <f t="shared" si="4"/>
        <v>15</v>
      </c>
      <c r="T53" s="31">
        <f t="shared" si="5"/>
        <v>15</v>
      </c>
      <c r="U53" s="43" t="s">
        <v>175</v>
      </c>
      <c r="V53" s="43" t="s">
        <v>142</v>
      </c>
      <c r="X53" s="41" t="s">
        <v>29</v>
      </c>
      <c r="Y53" s="42" t="s">
        <v>183</v>
      </c>
      <c r="Z53" s="41" t="s">
        <v>31</v>
      </c>
      <c r="AA53" s="41" t="s">
        <v>184</v>
      </c>
    </row>
    <row r="54">
      <c r="A54" s="23">
        <v>50.0</v>
      </c>
      <c r="B54" s="33"/>
      <c r="C54" s="34"/>
      <c r="D54" s="26"/>
      <c r="E54" s="27"/>
      <c r="F54" s="55">
        <v>45783.0</v>
      </c>
      <c r="G54" s="56">
        <v>1.0</v>
      </c>
      <c r="H54" s="11">
        <f t="shared" si="1"/>
        <v>1</v>
      </c>
      <c r="I54" s="43" t="s">
        <v>175</v>
      </c>
      <c r="J54" s="43" t="s">
        <v>185</v>
      </c>
      <c r="L54" s="41" t="s">
        <v>29</v>
      </c>
      <c r="M54" s="41" t="s">
        <v>186</v>
      </c>
      <c r="N54" s="41" t="s">
        <v>31</v>
      </c>
      <c r="O54" s="41" t="s">
        <v>187</v>
      </c>
      <c r="P54" s="8"/>
      <c r="Q54" s="30">
        <f t="shared" si="2"/>
        <v>0</v>
      </c>
      <c r="R54" s="30">
        <f t="shared" si="3"/>
        <v>0</v>
      </c>
      <c r="S54" s="30">
        <f t="shared" si="4"/>
        <v>15</v>
      </c>
      <c r="T54" s="31">
        <f t="shared" si="5"/>
        <v>15</v>
      </c>
      <c r="U54" s="43" t="s">
        <v>175</v>
      </c>
      <c r="V54" s="43" t="s">
        <v>185</v>
      </c>
      <c r="X54" s="41" t="s">
        <v>29</v>
      </c>
      <c r="Y54" s="42" t="s">
        <v>186</v>
      </c>
      <c r="Z54" s="41" t="s">
        <v>31</v>
      </c>
      <c r="AA54" s="41" t="s">
        <v>187</v>
      </c>
    </row>
    <row r="55">
      <c r="A55" s="9"/>
      <c r="B55" s="9"/>
      <c r="C55" s="9"/>
      <c r="D55" s="9"/>
      <c r="E55" s="9"/>
      <c r="F55" s="9"/>
      <c r="G55" s="9"/>
      <c r="H55" s="9"/>
      <c r="P55" s="8"/>
      <c r="T55" s="9"/>
    </row>
    <row r="56">
      <c r="A56" s="9"/>
      <c r="B56" s="9"/>
      <c r="C56" s="9"/>
      <c r="D56" s="9"/>
      <c r="E56" s="9"/>
      <c r="F56" s="9"/>
      <c r="G56" s="9"/>
      <c r="H56" s="9"/>
      <c r="P56" s="8"/>
      <c r="T56" s="9"/>
    </row>
    <row r="57">
      <c r="A57" s="9"/>
      <c r="B57" s="9"/>
      <c r="C57" s="9"/>
      <c r="D57" s="9"/>
      <c r="E57" s="9"/>
      <c r="F57" s="9"/>
      <c r="G57" s="9"/>
      <c r="H57" s="9"/>
      <c r="P57" s="8"/>
      <c r="T57" s="9"/>
    </row>
    <row r="58">
      <c r="A58" s="9"/>
      <c r="B58" s="9"/>
      <c r="C58" s="9"/>
      <c r="D58" s="9"/>
      <c r="E58" s="9"/>
      <c r="F58" s="9"/>
      <c r="G58" s="9"/>
      <c r="H58" s="9"/>
      <c r="P58" s="8"/>
      <c r="T58" s="9"/>
    </row>
    <row r="59">
      <c r="A59" s="9"/>
      <c r="B59" s="9"/>
      <c r="C59" s="9"/>
      <c r="D59" s="9"/>
      <c r="E59" s="9"/>
      <c r="F59" s="9"/>
      <c r="G59" s="9"/>
      <c r="H59" s="9"/>
      <c r="P59" s="8"/>
      <c r="T59" s="9"/>
    </row>
    <row r="60">
      <c r="A60" s="9"/>
      <c r="B60" s="9"/>
      <c r="C60" s="9"/>
      <c r="D60" s="9"/>
      <c r="E60" s="9"/>
      <c r="F60" s="9"/>
      <c r="G60" s="9"/>
      <c r="H60" s="9"/>
      <c r="P60" s="8"/>
      <c r="T60" s="9"/>
    </row>
    <row r="61">
      <c r="P61" s="8"/>
      <c r="T61" s="9"/>
    </row>
    <row r="62">
      <c r="P62" s="8"/>
      <c r="T62" s="9"/>
    </row>
    <row r="63">
      <c r="P63" s="8"/>
      <c r="T63" s="9"/>
    </row>
    <row r="64">
      <c r="P64" s="8"/>
      <c r="T64" s="9"/>
    </row>
    <row r="65">
      <c r="P65" s="8"/>
      <c r="T65" s="9"/>
    </row>
    <row r="66">
      <c r="P66" s="8"/>
      <c r="T66" s="9"/>
    </row>
    <row r="67">
      <c r="P67" s="8"/>
      <c r="T67" s="9"/>
    </row>
    <row r="68">
      <c r="P68" s="8"/>
      <c r="T68" s="9"/>
    </row>
    <row r="69">
      <c r="P69" s="8"/>
      <c r="T69" s="9"/>
    </row>
    <row r="70">
      <c r="P70" s="8"/>
      <c r="T70" s="9"/>
    </row>
    <row r="71">
      <c r="P71" s="8"/>
      <c r="T71" s="9"/>
    </row>
    <row r="72">
      <c r="P72" s="8"/>
      <c r="T72" s="9"/>
    </row>
    <row r="73">
      <c r="P73" s="8"/>
      <c r="T73" s="9"/>
    </row>
    <row r="74">
      <c r="P74" s="8"/>
      <c r="T74" s="9"/>
    </row>
    <row r="75">
      <c r="P75" s="8"/>
      <c r="T75" s="9"/>
    </row>
    <row r="76">
      <c r="P76" s="8"/>
      <c r="T76" s="9"/>
    </row>
    <row r="77">
      <c r="P77" s="8"/>
      <c r="T77" s="9"/>
    </row>
    <row r="78">
      <c r="P78" s="8"/>
      <c r="T78" s="9"/>
    </row>
    <row r="79">
      <c r="P79" s="8"/>
      <c r="T79" s="9"/>
    </row>
    <row r="80">
      <c r="P80" s="8"/>
      <c r="T80" s="9"/>
    </row>
    <row r="81">
      <c r="P81" s="8"/>
      <c r="T81" s="9"/>
    </row>
    <row r="82">
      <c r="P82" s="8"/>
      <c r="T82" s="9"/>
    </row>
    <row r="83">
      <c r="P83" s="8"/>
      <c r="T83" s="9"/>
    </row>
    <row r="84">
      <c r="P84" s="8"/>
      <c r="T84" s="9"/>
    </row>
    <row r="85">
      <c r="P85" s="8"/>
      <c r="T85" s="9"/>
    </row>
    <row r="86">
      <c r="P86" s="8"/>
      <c r="T86" s="9"/>
    </row>
    <row r="87">
      <c r="P87" s="8"/>
      <c r="T87" s="9"/>
    </row>
    <row r="88">
      <c r="P88" s="8"/>
      <c r="T88" s="9"/>
    </row>
    <row r="89">
      <c r="P89" s="8"/>
      <c r="T89" s="9"/>
    </row>
    <row r="90">
      <c r="P90" s="8"/>
      <c r="T90" s="9"/>
    </row>
    <row r="91">
      <c r="P91" s="8"/>
      <c r="T91" s="9"/>
    </row>
    <row r="92">
      <c r="P92" s="8"/>
      <c r="T92" s="9"/>
    </row>
    <row r="93">
      <c r="P93" s="8"/>
      <c r="T93" s="9"/>
    </row>
    <row r="94">
      <c r="P94" s="8"/>
      <c r="T94" s="9"/>
    </row>
    <row r="95">
      <c r="P95" s="8"/>
      <c r="T95" s="9"/>
    </row>
    <row r="96">
      <c r="P96" s="8"/>
      <c r="T96" s="9"/>
    </row>
    <row r="97">
      <c r="P97" s="8"/>
      <c r="T97" s="9"/>
    </row>
    <row r="98">
      <c r="P98" s="8"/>
      <c r="T98" s="9"/>
    </row>
    <row r="99">
      <c r="P99" s="8"/>
      <c r="T99" s="9"/>
    </row>
    <row r="100">
      <c r="P100" s="8"/>
      <c r="T100" s="9"/>
    </row>
    <row r="101">
      <c r="P101" s="8"/>
      <c r="T101" s="9"/>
    </row>
    <row r="102">
      <c r="P102" s="8"/>
      <c r="T102" s="9"/>
    </row>
    <row r="103">
      <c r="P103" s="8"/>
      <c r="T103" s="9"/>
    </row>
    <row r="104">
      <c r="P104" s="8"/>
      <c r="T104" s="9"/>
    </row>
    <row r="105">
      <c r="B105" s="1"/>
      <c r="C105" s="2"/>
      <c r="D105" s="3"/>
      <c r="E105" s="4"/>
      <c r="F105" s="5"/>
      <c r="G105" s="6"/>
      <c r="H105" s="7"/>
      <c r="P105" s="8"/>
      <c r="T105" s="9"/>
    </row>
    <row r="106">
      <c r="B106" s="1"/>
      <c r="C106" s="2"/>
      <c r="D106" s="3"/>
      <c r="E106" s="4"/>
      <c r="F106" s="5"/>
      <c r="G106" s="6"/>
      <c r="H106" s="7"/>
      <c r="P106" s="8"/>
      <c r="T106" s="9"/>
    </row>
    <row r="107">
      <c r="B107" s="1"/>
      <c r="C107" s="2"/>
      <c r="D107" s="3"/>
      <c r="E107" s="4"/>
      <c r="F107" s="5"/>
      <c r="G107" s="6"/>
      <c r="H107" s="7"/>
      <c r="P107" s="8"/>
      <c r="T107" s="9"/>
    </row>
    <row r="108">
      <c r="B108" s="1"/>
      <c r="C108" s="2"/>
      <c r="D108" s="3"/>
      <c r="E108" s="4"/>
      <c r="F108" s="5"/>
      <c r="G108" s="6"/>
      <c r="H108" s="7"/>
      <c r="P108" s="8"/>
      <c r="T108" s="9"/>
    </row>
    <row r="109">
      <c r="B109" s="1"/>
      <c r="C109" s="2"/>
      <c r="D109" s="3"/>
      <c r="E109" s="4"/>
      <c r="F109" s="5"/>
      <c r="G109" s="6"/>
      <c r="H109" s="7"/>
      <c r="P109" s="8"/>
      <c r="T109" s="9"/>
    </row>
    <row r="110">
      <c r="B110" s="1"/>
      <c r="C110" s="2"/>
      <c r="D110" s="3"/>
      <c r="E110" s="4"/>
      <c r="F110" s="5"/>
      <c r="G110" s="6"/>
      <c r="H110" s="7"/>
      <c r="P110" s="8"/>
      <c r="T110" s="9"/>
    </row>
    <row r="111">
      <c r="B111" s="1"/>
      <c r="C111" s="2"/>
      <c r="D111" s="3"/>
      <c r="E111" s="4"/>
      <c r="F111" s="5"/>
      <c r="G111" s="6"/>
      <c r="H111" s="7"/>
      <c r="P111" s="8"/>
      <c r="T111" s="9"/>
    </row>
    <row r="112">
      <c r="B112" s="1"/>
      <c r="C112" s="2"/>
      <c r="D112" s="3"/>
      <c r="E112" s="4"/>
      <c r="F112" s="5"/>
      <c r="G112" s="6"/>
      <c r="H112" s="7"/>
      <c r="P112" s="8"/>
      <c r="T112" s="9"/>
    </row>
    <row r="113">
      <c r="B113" s="1"/>
      <c r="C113" s="2"/>
      <c r="D113" s="3"/>
      <c r="E113" s="4"/>
      <c r="F113" s="5"/>
      <c r="G113" s="6"/>
      <c r="H113" s="7"/>
      <c r="P113" s="8"/>
      <c r="T113" s="9"/>
    </row>
    <row r="114">
      <c r="B114" s="1"/>
      <c r="C114" s="2"/>
      <c r="D114" s="3"/>
      <c r="E114" s="4"/>
      <c r="F114" s="5"/>
      <c r="G114" s="6"/>
      <c r="H114" s="7"/>
      <c r="P114" s="8"/>
      <c r="T114" s="9"/>
    </row>
    <row r="115">
      <c r="B115" s="1"/>
      <c r="C115" s="2"/>
      <c r="D115" s="3"/>
      <c r="E115" s="4"/>
      <c r="F115" s="5"/>
      <c r="G115" s="6"/>
      <c r="H115" s="7"/>
      <c r="P115" s="8"/>
      <c r="T115" s="9"/>
    </row>
    <row r="116">
      <c r="B116" s="1"/>
      <c r="C116" s="2"/>
      <c r="D116" s="3"/>
      <c r="E116" s="4"/>
      <c r="F116" s="5"/>
      <c r="G116" s="6"/>
      <c r="H116" s="7"/>
      <c r="P116" s="8"/>
      <c r="T116" s="9"/>
    </row>
    <row r="117">
      <c r="B117" s="1"/>
      <c r="C117" s="2"/>
      <c r="D117" s="3"/>
      <c r="E117" s="4"/>
      <c r="F117" s="5"/>
      <c r="G117" s="6"/>
      <c r="H117" s="7"/>
      <c r="P117" s="8"/>
      <c r="T117" s="9"/>
    </row>
    <row r="118">
      <c r="B118" s="1"/>
      <c r="C118" s="2"/>
      <c r="D118" s="3"/>
      <c r="E118" s="4"/>
      <c r="F118" s="5"/>
      <c r="G118" s="6"/>
      <c r="H118" s="7"/>
      <c r="P118" s="8"/>
      <c r="T118" s="9"/>
    </row>
    <row r="119">
      <c r="B119" s="1"/>
      <c r="C119" s="2"/>
      <c r="D119" s="3"/>
      <c r="E119" s="4"/>
      <c r="F119" s="5"/>
      <c r="G119" s="6"/>
      <c r="H119" s="7"/>
      <c r="P119" s="8"/>
      <c r="T119" s="9"/>
    </row>
    <row r="120">
      <c r="B120" s="1"/>
      <c r="C120" s="2"/>
      <c r="D120" s="3"/>
      <c r="E120" s="4"/>
      <c r="F120" s="5"/>
      <c r="G120" s="6"/>
      <c r="H120" s="7"/>
      <c r="P120" s="8"/>
      <c r="T120" s="9"/>
    </row>
    <row r="121">
      <c r="B121" s="1"/>
      <c r="C121" s="2"/>
      <c r="D121" s="3"/>
      <c r="E121" s="4"/>
      <c r="F121" s="5"/>
      <c r="G121" s="6"/>
      <c r="H121" s="7"/>
      <c r="P121" s="8"/>
      <c r="T121" s="9"/>
    </row>
    <row r="122">
      <c r="B122" s="1"/>
      <c r="C122" s="2"/>
      <c r="D122" s="3"/>
      <c r="E122" s="4"/>
      <c r="F122" s="5"/>
      <c r="G122" s="6"/>
      <c r="H122" s="7"/>
      <c r="P122" s="8"/>
      <c r="T122" s="9"/>
    </row>
    <row r="123">
      <c r="B123" s="1"/>
      <c r="C123" s="2"/>
      <c r="D123" s="3"/>
      <c r="E123" s="4"/>
      <c r="F123" s="5"/>
      <c r="G123" s="6"/>
      <c r="H123" s="7"/>
      <c r="P123" s="8"/>
      <c r="T123" s="9"/>
    </row>
    <row r="124">
      <c r="B124" s="1"/>
      <c r="C124" s="2"/>
      <c r="D124" s="3"/>
      <c r="E124" s="4"/>
      <c r="F124" s="5"/>
      <c r="G124" s="6"/>
      <c r="H124" s="7"/>
      <c r="P124" s="8"/>
      <c r="T124" s="9"/>
    </row>
    <row r="125">
      <c r="B125" s="1"/>
      <c r="C125" s="2"/>
      <c r="D125" s="3"/>
      <c r="E125" s="4"/>
      <c r="F125" s="5"/>
      <c r="G125" s="6"/>
      <c r="H125" s="7"/>
      <c r="P125" s="8"/>
      <c r="T125" s="9"/>
    </row>
    <row r="126">
      <c r="B126" s="1"/>
      <c r="C126" s="2"/>
      <c r="D126" s="3"/>
      <c r="E126" s="4"/>
      <c r="F126" s="5"/>
      <c r="G126" s="6"/>
      <c r="H126" s="7"/>
      <c r="P126" s="8"/>
      <c r="T126" s="9"/>
    </row>
    <row r="127">
      <c r="B127" s="1"/>
      <c r="C127" s="2"/>
      <c r="D127" s="3"/>
      <c r="E127" s="4"/>
      <c r="F127" s="5"/>
      <c r="G127" s="6"/>
      <c r="H127" s="7"/>
      <c r="P127" s="8"/>
      <c r="T127" s="9"/>
    </row>
    <row r="128">
      <c r="B128" s="1"/>
      <c r="C128" s="2"/>
      <c r="D128" s="3"/>
      <c r="E128" s="4"/>
      <c r="F128" s="5"/>
      <c r="G128" s="6"/>
      <c r="H128" s="7"/>
      <c r="P128" s="8"/>
      <c r="T128" s="9"/>
    </row>
    <row r="129">
      <c r="B129" s="1"/>
      <c r="C129" s="2"/>
      <c r="D129" s="3"/>
      <c r="E129" s="4"/>
      <c r="F129" s="5"/>
      <c r="G129" s="6"/>
      <c r="H129" s="7"/>
      <c r="P129" s="8"/>
      <c r="T129" s="9"/>
    </row>
    <row r="130">
      <c r="B130" s="1"/>
      <c r="C130" s="2"/>
      <c r="D130" s="3"/>
      <c r="E130" s="4"/>
      <c r="F130" s="5"/>
      <c r="G130" s="6"/>
      <c r="H130" s="7"/>
      <c r="P130" s="8"/>
      <c r="T130" s="9"/>
    </row>
    <row r="131">
      <c r="B131" s="1"/>
      <c r="C131" s="2"/>
      <c r="D131" s="3"/>
      <c r="E131" s="4"/>
      <c r="F131" s="5"/>
      <c r="G131" s="6"/>
      <c r="H131" s="7"/>
      <c r="P131" s="8"/>
      <c r="T131" s="9"/>
    </row>
    <row r="132">
      <c r="B132" s="1"/>
      <c r="C132" s="2"/>
      <c r="D132" s="3"/>
      <c r="E132" s="4"/>
      <c r="F132" s="5"/>
      <c r="G132" s="6"/>
      <c r="H132" s="7"/>
      <c r="P132" s="8"/>
      <c r="T132" s="9"/>
    </row>
    <row r="133">
      <c r="B133" s="1"/>
      <c r="C133" s="2"/>
      <c r="D133" s="3"/>
      <c r="E133" s="4"/>
      <c r="F133" s="5"/>
      <c r="G133" s="6"/>
      <c r="H133" s="7"/>
      <c r="P133" s="8"/>
      <c r="T133" s="9"/>
    </row>
    <row r="134">
      <c r="B134" s="1"/>
      <c r="C134" s="2"/>
      <c r="D134" s="3"/>
      <c r="E134" s="4"/>
      <c r="F134" s="5"/>
      <c r="G134" s="6"/>
      <c r="H134" s="7"/>
      <c r="P134" s="8"/>
      <c r="T134" s="9"/>
    </row>
    <row r="135">
      <c r="B135" s="1"/>
      <c r="C135" s="2"/>
      <c r="D135" s="3"/>
      <c r="E135" s="4"/>
      <c r="F135" s="5"/>
      <c r="G135" s="6"/>
      <c r="H135" s="7"/>
      <c r="P135" s="8"/>
      <c r="T135" s="9"/>
    </row>
    <row r="136">
      <c r="B136" s="1"/>
      <c r="C136" s="2"/>
      <c r="D136" s="3"/>
      <c r="E136" s="4"/>
      <c r="F136" s="5"/>
      <c r="G136" s="6"/>
      <c r="H136" s="7"/>
      <c r="P136" s="8"/>
      <c r="T136" s="9"/>
    </row>
    <row r="137">
      <c r="B137" s="1"/>
      <c r="C137" s="2"/>
      <c r="D137" s="3"/>
      <c r="E137" s="4"/>
      <c r="F137" s="5"/>
      <c r="G137" s="6"/>
      <c r="H137" s="7"/>
      <c r="P137" s="8"/>
      <c r="T137" s="9"/>
    </row>
    <row r="138">
      <c r="B138" s="1"/>
      <c r="C138" s="2"/>
      <c r="D138" s="3"/>
      <c r="E138" s="4"/>
      <c r="F138" s="5"/>
      <c r="G138" s="6"/>
      <c r="H138" s="7"/>
      <c r="P138" s="8"/>
      <c r="T138" s="9"/>
    </row>
    <row r="139">
      <c r="B139" s="1"/>
      <c r="C139" s="2"/>
      <c r="D139" s="3"/>
      <c r="E139" s="4"/>
      <c r="F139" s="5"/>
      <c r="G139" s="6"/>
      <c r="H139" s="7"/>
      <c r="P139" s="8"/>
      <c r="T139" s="9"/>
    </row>
    <row r="140">
      <c r="B140" s="1"/>
      <c r="C140" s="2"/>
      <c r="D140" s="3"/>
      <c r="E140" s="4"/>
      <c r="F140" s="5"/>
      <c r="G140" s="6"/>
      <c r="H140" s="7"/>
      <c r="P140" s="8"/>
      <c r="T140" s="9"/>
    </row>
    <row r="141">
      <c r="B141" s="1"/>
      <c r="C141" s="2"/>
      <c r="D141" s="3"/>
      <c r="E141" s="4"/>
      <c r="F141" s="5"/>
      <c r="G141" s="6"/>
      <c r="H141" s="7"/>
      <c r="P141" s="8"/>
      <c r="T141" s="9"/>
    </row>
    <row r="142">
      <c r="B142" s="1"/>
      <c r="C142" s="2"/>
      <c r="D142" s="3"/>
      <c r="E142" s="4"/>
      <c r="F142" s="5"/>
      <c r="G142" s="6"/>
      <c r="H142" s="7"/>
      <c r="P142" s="8"/>
      <c r="T142" s="9"/>
    </row>
    <row r="143">
      <c r="B143" s="1"/>
      <c r="C143" s="2"/>
      <c r="D143" s="3"/>
      <c r="E143" s="4"/>
      <c r="F143" s="5"/>
      <c r="G143" s="6"/>
      <c r="H143" s="7"/>
      <c r="P143" s="8"/>
      <c r="T143" s="9"/>
    </row>
    <row r="144">
      <c r="B144" s="1"/>
      <c r="C144" s="2"/>
      <c r="D144" s="3"/>
      <c r="E144" s="4"/>
      <c r="F144" s="5"/>
      <c r="G144" s="6"/>
      <c r="H144" s="7"/>
      <c r="P144" s="8"/>
      <c r="T144" s="9"/>
    </row>
    <row r="145">
      <c r="B145" s="1"/>
      <c r="C145" s="2"/>
      <c r="D145" s="3"/>
      <c r="E145" s="4"/>
      <c r="F145" s="5"/>
      <c r="G145" s="6"/>
      <c r="H145" s="7"/>
      <c r="P145" s="8"/>
      <c r="T145" s="9"/>
    </row>
    <row r="146">
      <c r="B146" s="1"/>
      <c r="C146" s="2"/>
      <c r="D146" s="3"/>
      <c r="E146" s="4"/>
      <c r="F146" s="5"/>
      <c r="G146" s="6"/>
      <c r="H146" s="7"/>
      <c r="P146" s="8"/>
      <c r="T146" s="9"/>
    </row>
    <row r="147">
      <c r="B147" s="1"/>
      <c r="C147" s="2"/>
      <c r="D147" s="3"/>
      <c r="E147" s="4"/>
      <c r="F147" s="5"/>
      <c r="G147" s="6"/>
      <c r="H147" s="7"/>
      <c r="P147" s="8"/>
      <c r="T147" s="9"/>
    </row>
    <row r="148">
      <c r="B148" s="1"/>
      <c r="C148" s="2"/>
      <c r="D148" s="3"/>
      <c r="E148" s="4"/>
      <c r="F148" s="5"/>
      <c r="G148" s="6"/>
      <c r="H148" s="7"/>
      <c r="P148" s="8"/>
      <c r="T148" s="9"/>
    </row>
    <row r="149">
      <c r="B149" s="1"/>
      <c r="C149" s="2"/>
      <c r="D149" s="3"/>
      <c r="E149" s="4"/>
      <c r="F149" s="5"/>
      <c r="G149" s="6"/>
      <c r="H149" s="7"/>
      <c r="P149" s="8"/>
      <c r="T149" s="9"/>
    </row>
    <row r="150">
      <c r="B150" s="1"/>
      <c r="C150" s="2"/>
      <c r="D150" s="3"/>
      <c r="E150" s="4"/>
      <c r="F150" s="5"/>
      <c r="G150" s="6"/>
      <c r="H150" s="7"/>
      <c r="P150" s="8"/>
      <c r="T150" s="9"/>
    </row>
    <row r="151">
      <c r="B151" s="1"/>
      <c r="C151" s="2"/>
      <c r="D151" s="3"/>
      <c r="E151" s="4"/>
      <c r="F151" s="5"/>
      <c r="G151" s="6"/>
      <c r="H151" s="7"/>
      <c r="P151" s="8"/>
      <c r="T151" s="9"/>
    </row>
    <row r="152">
      <c r="B152" s="1"/>
      <c r="C152" s="2"/>
      <c r="D152" s="3"/>
      <c r="E152" s="4"/>
      <c r="F152" s="5"/>
      <c r="G152" s="6"/>
      <c r="H152" s="7"/>
      <c r="P152" s="8"/>
      <c r="T152" s="9"/>
    </row>
    <row r="153">
      <c r="B153" s="1"/>
      <c r="C153" s="2"/>
      <c r="D153" s="3"/>
      <c r="E153" s="4"/>
      <c r="F153" s="5"/>
      <c r="G153" s="6"/>
      <c r="H153" s="7"/>
      <c r="P153" s="8"/>
      <c r="T153" s="9"/>
    </row>
    <row r="154">
      <c r="B154" s="1"/>
      <c r="C154" s="2"/>
      <c r="D154" s="3"/>
      <c r="E154" s="4"/>
      <c r="F154" s="5"/>
      <c r="G154" s="6"/>
      <c r="H154" s="7"/>
      <c r="P154" s="8"/>
      <c r="T154" s="9"/>
    </row>
    <row r="155">
      <c r="B155" s="1"/>
      <c r="C155" s="2"/>
      <c r="D155" s="3"/>
      <c r="E155" s="4"/>
      <c r="F155" s="5"/>
      <c r="G155" s="6"/>
      <c r="H155" s="7"/>
      <c r="P155" s="8"/>
      <c r="T155" s="9"/>
    </row>
    <row r="156">
      <c r="B156" s="1"/>
      <c r="C156" s="2"/>
      <c r="D156" s="3"/>
      <c r="E156" s="4"/>
      <c r="F156" s="5"/>
      <c r="G156" s="6"/>
      <c r="H156" s="7"/>
      <c r="P156" s="8"/>
      <c r="T156" s="9"/>
    </row>
    <row r="157">
      <c r="B157" s="1"/>
      <c r="C157" s="2"/>
      <c r="D157" s="3"/>
      <c r="E157" s="4"/>
      <c r="F157" s="5"/>
      <c r="G157" s="6"/>
      <c r="H157" s="7"/>
      <c r="P157" s="8"/>
      <c r="T157" s="9"/>
    </row>
    <row r="158">
      <c r="B158" s="1"/>
      <c r="C158" s="2"/>
      <c r="D158" s="3"/>
      <c r="E158" s="4"/>
      <c r="F158" s="5"/>
      <c r="G158" s="6"/>
      <c r="H158" s="7"/>
      <c r="P158" s="8"/>
      <c r="T158" s="9"/>
    </row>
    <row r="159">
      <c r="B159" s="1"/>
      <c r="C159" s="2"/>
      <c r="D159" s="3"/>
      <c r="E159" s="4"/>
      <c r="F159" s="5"/>
      <c r="G159" s="6"/>
      <c r="H159" s="7"/>
      <c r="P159" s="8"/>
      <c r="T159" s="9"/>
    </row>
    <row r="160">
      <c r="B160" s="1"/>
      <c r="C160" s="2"/>
      <c r="D160" s="3"/>
      <c r="E160" s="4"/>
      <c r="F160" s="5"/>
      <c r="G160" s="6"/>
      <c r="H160" s="7"/>
      <c r="P160" s="8"/>
      <c r="T160" s="9"/>
    </row>
    <row r="161">
      <c r="B161" s="1"/>
      <c r="C161" s="2"/>
      <c r="D161" s="3"/>
      <c r="E161" s="4"/>
      <c r="F161" s="5"/>
      <c r="G161" s="6"/>
      <c r="H161" s="7"/>
      <c r="P161" s="8"/>
      <c r="T161" s="9"/>
    </row>
    <row r="162">
      <c r="B162" s="1"/>
      <c r="C162" s="2"/>
      <c r="D162" s="3"/>
      <c r="E162" s="4"/>
      <c r="F162" s="5"/>
      <c r="G162" s="6"/>
      <c r="H162" s="7"/>
      <c r="P162" s="8"/>
      <c r="T162" s="9"/>
    </row>
    <row r="163">
      <c r="B163" s="1"/>
      <c r="C163" s="2"/>
      <c r="D163" s="3"/>
      <c r="E163" s="4"/>
      <c r="F163" s="5"/>
      <c r="G163" s="6"/>
      <c r="H163" s="7"/>
      <c r="P163" s="8"/>
      <c r="T163" s="9"/>
    </row>
    <row r="164">
      <c r="B164" s="1"/>
      <c r="C164" s="2"/>
      <c r="D164" s="3"/>
      <c r="E164" s="4"/>
      <c r="F164" s="5"/>
      <c r="G164" s="6"/>
      <c r="H164" s="7"/>
      <c r="P164" s="8"/>
      <c r="T164" s="9"/>
    </row>
    <row r="165">
      <c r="B165" s="1"/>
      <c r="C165" s="2"/>
      <c r="D165" s="3"/>
      <c r="E165" s="4"/>
      <c r="F165" s="5"/>
      <c r="G165" s="6"/>
      <c r="H165" s="7"/>
      <c r="P165" s="8"/>
      <c r="T165" s="9"/>
    </row>
    <row r="166">
      <c r="B166" s="1"/>
      <c r="C166" s="2"/>
      <c r="D166" s="3"/>
      <c r="E166" s="4"/>
      <c r="F166" s="5"/>
      <c r="G166" s="6"/>
      <c r="H166" s="7"/>
      <c r="P166" s="8"/>
      <c r="T166" s="9"/>
    </row>
    <row r="167">
      <c r="B167" s="1"/>
      <c r="C167" s="2"/>
      <c r="D167" s="3"/>
      <c r="E167" s="4"/>
      <c r="F167" s="5"/>
      <c r="G167" s="6"/>
      <c r="H167" s="7"/>
      <c r="P167" s="8"/>
      <c r="T167" s="9"/>
    </row>
    <row r="168">
      <c r="B168" s="1"/>
      <c r="C168" s="2"/>
      <c r="D168" s="3"/>
      <c r="E168" s="4"/>
      <c r="F168" s="5"/>
      <c r="G168" s="6"/>
      <c r="H168" s="7"/>
      <c r="P168" s="8"/>
      <c r="T168" s="9"/>
    </row>
    <row r="169">
      <c r="B169" s="1"/>
      <c r="C169" s="2"/>
      <c r="D169" s="3"/>
      <c r="E169" s="4"/>
      <c r="F169" s="5"/>
      <c r="G169" s="6"/>
      <c r="H169" s="7"/>
      <c r="P169" s="8"/>
      <c r="T169" s="9"/>
    </row>
    <row r="170">
      <c r="B170" s="1"/>
      <c r="C170" s="2"/>
      <c r="D170" s="3"/>
      <c r="E170" s="4"/>
      <c r="F170" s="5"/>
      <c r="G170" s="6"/>
      <c r="H170" s="7"/>
      <c r="P170" s="8"/>
      <c r="T170" s="9"/>
    </row>
    <row r="171">
      <c r="B171" s="1"/>
      <c r="C171" s="2"/>
      <c r="D171" s="3"/>
      <c r="E171" s="4"/>
      <c r="F171" s="5"/>
      <c r="G171" s="6"/>
      <c r="H171" s="7"/>
      <c r="P171" s="8"/>
      <c r="T171" s="9"/>
    </row>
    <row r="172">
      <c r="B172" s="1"/>
      <c r="C172" s="2"/>
      <c r="D172" s="3"/>
      <c r="E172" s="4"/>
      <c r="F172" s="5"/>
      <c r="G172" s="6"/>
      <c r="H172" s="7"/>
      <c r="P172" s="8"/>
      <c r="T172" s="9"/>
    </row>
    <row r="173">
      <c r="B173" s="1"/>
      <c r="C173" s="2"/>
      <c r="D173" s="3"/>
      <c r="E173" s="4"/>
      <c r="F173" s="5"/>
      <c r="G173" s="6"/>
      <c r="H173" s="7"/>
      <c r="P173" s="8"/>
      <c r="T173" s="9"/>
    </row>
    <row r="174">
      <c r="B174" s="1"/>
      <c r="C174" s="2"/>
      <c r="D174" s="3"/>
      <c r="E174" s="4"/>
      <c r="F174" s="5"/>
      <c r="G174" s="6"/>
      <c r="H174" s="7"/>
      <c r="P174" s="8"/>
      <c r="T174" s="9"/>
    </row>
    <row r="175">
      <c r="B175" s="1"/>
      <c r="C175" s="2"/>
      <c r="D175" s="3"/>
      <c r="E175" s="4"/>
      <c r="F175" s="5"/>
      <c r="G175" s="6"/>
      <c r="H175" s="7"/>
      <c r="P175" s="8"/>
      <c r="T175" s="9"/>
    </row>
    <row r="176">
      <c r="B176" s="1"/>
      <c r="C176" s="2"/>
      <c r="D176" s="3"/>
      <c r="E176" s="4"/>
      <c r="F176" s="5"/>
      <c r="G176" s="6"/>
      <c r="H176" s="7"/>
      <c r="P176" s="8"/>
      <c r="T176" s="9"/>
    </row>
    <row r="177">
      <c r="B177" s="1"/>
      <c r="C177" s="2"/>
      <c r="D177" s="3"/>
      <c r="E177" s="4"/>
      <c r="F177" s="5"/>
      <c r="G177" s="6"/>
      <c r="H177" s="7"/>
      <c r="P177" s="8"/>
      <c r="T177" s="9"/>
    </row>
    <row r="178">
      <c r="B178" s="1"/>
      <c r="C178" s="2"/>
      <c r="D178" s="3"/>
      <c r="E178" s="4"/>
      <c r="F178" s="5"/>
      <c r="G178" s="6"/>
      <c r="H178" s="7"/>
      <c r="P178" s="8"/>
      <c r="T178" s="9"/>
    </row>
    <row r="179">
      <c r="B179" s="1"/>
      <c r="C179" s="2"/>
      <c r="D179" s="3"/>
      <c r="E179" s="4"/>
      <c r="F179" s="5"/>
      <c r="G179" s="6"/>
      <c r="H179" s="7"/>
      <c r="P179" s="8"/>
      <c r="T179" s="9"/>
    </row>
    <row r="180">
      <c r="B180" s="1"/>
      <c r="C180" s="2"/>
      <c r="D180" s="3"/>
      <c r="E180" s="4"/>
      <c r="F180" s="5"/>
      <c r="G180" s="6"/>
      <c r="H180" s="7"/>
      <c r="P180" s="8"/>
      <c r="T180" s="9"/>
    </row>
    <row r="181">
      <c r="B181" s="1"/>
      <c r="C181" s="2"/>
      <c r="D181" s="3"/>
      <c r="E181" s="4"/>
      <c r="F181" s="5"/>
      <c r="G181" s="6"/>
      <c r="H181" s="7"/>
      <c r="P181" s="8"/>
      <c r="T181" s="9"/>
    </row>
    <row r="182">
      <c r="B182" s="1"/>
      <c r="C182" s="2"/>
      <c r="D182" s="3"/>
      <c r="E182" s="4"/>
      <c r="F182" s="5"/>
      <c r="G182" s="6"/>
      <c r="H182" s="7"/>
      <c r="P182" s="8"/>
      <c r="T182" s="9"/>
    </row>
    <row r="183">
      <c r="B183" s="1"/>
      <c r="C183" s="2"/>
      <c r="D183" s="3"/>
      <c r="E183" s="4"/>
      <c r="F183" s="5"/>
      <c r="G183" s="6"/>
      <c r="H183" s="7"/>
      <c r="P183" s="8"/>
      <c r="T183" s="9"/>
    </row>
    <row r="184">
      <c r="B184" s="1"/>
      <c r="C184" s="2"/>
      <c r="D184" s="3"/>
      <c r="E184" s="4"/>
      <c r="F184" s="5"/>
      <c r="G184" s="6"/>
      <c r="H184" s="7"/>
      <c r="P184" s="8"/>
      <c r="T184" s="9"/>
    </row>
    <row r="185">
      <c r="B185" s="1"/>
      <c r="C185" s="2"/>
      <c r="D185" s="3"/>
      <c r="E185" s="4"/>
      <c r="F185" s="5"/>
      <c r="G185" s="6"/>
      <c r="H185" s="7"/>
      <c r="P185" s="8"/>
      <c r="T185" s="9"/>
    </row>
    <row r="186">
      <c r="B186" s="1"/>
      <c r="C186" s="2"/>
      <c r="D186" s="3"/>
      <c r="E186" s="4"/>
      <c r="F186" s="5"/>
      <c r="G186" s="6"/>
      <c r="H186" s="7"/>
      <c r="P186" s="8"/>
      <c r="T186" s="9"/>
    </row>
    <row r="187">
      <c r="B187" s="1"/>
      <c r="C187" s="2"/>
      <c r="D187" s="3"/>
      <c r="E187" s="4"/>
      <c r="F187" s="5"/>
      <c r="G187" s="6"/>
      <c r="H187" s="7"/>
      <c r="P187" s="8"/>
      <c r="T187" s="9"/>
    </row>
    <row r="188">
      <c r="B188" s="1"/>
      <c r="C188" s="2"/>
      <c r="D188" s="3"/>
      <c r="E188" s="4"/>
      <c r="F188" s="5"/>
      <c r="G188" s="6"/>
      <c r="H188" s="7"/>
      <c r="P188" s="8"/>
      <c r="T188" s="9"/>
    </row>
    <row r="189">
      <c r="B189" s="1"/>
      <c r="C189" s="2"/>
      <c r="D189" s="3"/>
      <c r="E189" s="4"/>
      <c r="F189" s="5"/>
      <c r="G189" s="6"/>
      <c r="H189" s="7"/>
      <c r="P189" s="8"/>
      <c r="T189" s="9"/>
    </row>
    <row r="190">
      <c r="B190" s="1"/>
      <c r="C190" s="2"/>
      <c r="D190" s="3"/>
      <c r="E190" s="4"/>
      <c r="F190" s="5"/>
      <c r="G190" s="6"/>
      <c r="H190" s="7"/>
      <c r="P190" s="8"/>
      <c r="T190" s="9"/>
    </row>
    <row r="191">
      <c r="B191" s="1"/>
      <c r="C191" s="2"/>
      <c r="D191" s="3"/>
      <c r="E191" s="4"/>
      <c r="F191" s="5"/>
      <c r="G191" s="6"/>
      <c r="H191" s="7"/>
      <c r="P191" s="8"/>
      <c r="T191" s="9"/>
    </row>
    <row r="192">
      <c r="B192" s="1"/>
      <c r="C192" s="2"/>
      <c r="D192" s="3"/>
      <c r="E192" s="4"/>
      <c r="F192" s="5"/>
      <c r="G192" s="6"/>
      <c r="H192" s="7"/>
      <c r="P192" s="8"/>
      <c r="T192" s="9"/>
    </row>
    <row r="193">
      <c r="B193" s="1"/>
      <c r="C193" s="2"/>
      <c r="D193" s="3"/>
      <c r="E193" s="4"/>
      <c r="F193" s="5"/>
      <c r="G193" s="6"/>
      <c r="H193" s="7"/>
      <c r="P193" s="8"/>
      <c r="T193" s="9"/>
    </row>
    <row r="194">
      <c r="B194" s="1"/>
      <c r="C194" s="2"/>
      <c r="D194" s="3"/>
      <c r="E194" s="4"/>
      <c r="F194" s="5"/>
      <c r="G194" s="6"/>
      <c r="H194" s="7"/>
      <c r="P194" s="8"/>
      <c r="T194" s="9"/>
    </row>
    <row r="195">
      <c r="B195" s="1"/>
      <c r="C195" s="2"/>
      <c r="D195" s="3"/>
      <c r="E195" s="4"/>
      <c r="F195" s="5"/>
      <c r="G195" s="6"/>
      <c r="H195" s="7"/>
      <c r="P195" s="8"/>
      <c r="T195" s="9"/>
    </row>
    <row r="196">
      <c r="B196" s="1"/>
      <c r="C196" s="2"/>
      <c r="D196" s="3"/>
      <c r="E196" s="4"/>
      <c r="F196" s="5"/>
      <c r="G196" s="6"/>
      <c r="H196" s="7"/>
      <c r="P196" s="8"/>
      <c r="T196" s="9"/>
    </row>
    <row r="197">
      <c r="B197" s="1"/>
      <c r="C197" s="2"/>
      <c r="D197" s="3"/>
      <c r="E197" s="4"/>
      <c r="F197" s="5"/>
      <c r="G197" s="6"/>
      <c r="H197" s="7"/>
      <c r="P197" s="8"/>
      <c r="T197" s="9"/>
    </row>
    <row r="198">
      <c r="B198" s="1"/>
      <c r="C198" s="2"/>
      <c r="D198" s="3"/>
      <c r="E198" s="4"/>
      <c r="F198" s="5"/>
      <c r="G198" s="6"/>
      <c r="H198" s="7"/>
      <c r="P198" s="8"/>
      <c r="T198" s="9"/>
    </row>
    <row r="199">
      <c r="B199" s="1"/>
      <c r="C199" s="2"/>
      <c r="D199" s="3"/>
      <c r="E199" s="4"/>
      <c r="F199" s="5"/>
      <c r="G199" s="6"/>
      <c r="H199" s="7"/>
      <c r="P199" s="8"/>
      <c r="T199" s="9"/>
    </row>
    <row r="200">
      <c r="B200" s="1"/>
      <c r="C200" s="2"/>
      <c r="D200" s="3"/>
      <c r="E200" s="4"/>
      <c r="F200" s="5"/>
      <c r="G200" s="6"/>
      <c r="H200" s="7"/>
      <c r="P200" s="8"/>
      <c r="T200" s="9"/>
    </row>
    <row r="201">
      <c r="B201" s="1"/>
      <c r="C201" s="2"/>
      <c r="D201" s="3"/>
      <c r="E201" s="4"/>
      <c r="F201" s="5"/>
      <c r="G201" s="6"/>
      <c r="H201" s="7"/>
      <c r="P201" s="8"/>
      <c r="T201" s="9"/>
    </row>
    <row r="202">
      <c r="B202" s="1"/>
      <c r="C202" s="2"/>
      <c r="D202" s="3"/>
      <c r="E202" s="4"/>
      <c r="F202" s="5"/>
      <c r="G202" s="6"/>
      <c r="H202" s="7"/>
      <c r="P202" s="8"/>
      <c r="T202" s="9"/>
    </row>
    <row r="203">
      <c r="B203" s="1"/>
      <c r="C203" s="2"/>
      <c r="D203" s="3"/>
      <c r="E203" s="4"/>
      <c r="F203" s="5"/>
      <c r="G203" s="6"/>
      <c r="H203" s="7"/>
      <c r="P203" s="8"/>
      <c r="T203" s="9"/>
    </row>
    <row r="204">
      <c r="B204" s="1"/>
      <c r="C204" s="2"/>
      <c r="D204" s="3"/>
      <c r="E204" s="4"/>
      <c r="F204" s="5"/>
      <c r="G204" s="6"/>
      <c r="H204" s="7"/>
      <c r="P204" s="8"/>
      <c r="T204" s="9"/>
    </row>
    <row r="205">
      <c r="B205" s="1"/>
      <c r="C205" s="2"/>
      <c r="D205" s="3"/>
      <c r="E205" s="4"/>
      <c r="F205" s="5"/>
      <c r="G205" s="6"/>
      <c r="H205" s="7"/>
      <c r="P205" s="8"/>
      <c r="T205" s="9"/>
    </row>
    <row r="206">
      <c r="B206" s="1"/>
      <c r="C206" s="2"/>
      <c r="D206" s="3"/>
      <c r="E206" s="4"/>
      <c r="F206" s="5"/>
      <c r="G206" s="6"/>
      <c r="H206" s="7"/>
      <c r="P206" s="8"/>
      <c r="T206" s="9"/>
    </row>
    <row r="207">
      <c r="B207" s="1"/>
      <c r="C207" s="2"/>
      <c r="D207" s="3"/>
      <c r="E207" s="4"/>
      <c r="F207" s="5"/>
      <c r="G207" s="6"/>
      <c r="H207" s="7"/>
      <c r="P207" s="8"/>
      <c r="T207" s="9"/>
    </row>
    <row r="208">
      <c r="B208" s="1"/>
      <c r="C208" s="2"/>
      <c r="D208" s="3"/>
      <c r="E208" s="4"/>
      <c r="F208" s="5"/>
      <c r="G208" s="6"/>
      <c r="H208" s="7"/>
      <c r="P208" s="8"/>
      <c r="T208" s="9"/>
    </row>
    <row r="209">
      <c r="B209" s="1"/>
      <c r="C209" s="2"/>
      <c r="D209" s="3"/>
      <c r="E209" s="4"/>
      <c r="F209" s="5"/>
      <c r="G209" s="6"/>
      <c r="H209" s="7"/>
      <c r="P209" s="8"/>
      <c r="T209" s="9"/>
    </row>
    <row r="210">
      <c r="B210" s="1"/>
      <c r="C210" s="2"/>
      <c r="D210" s="3"/>
      <c r="E210" s="4"/>
      <c r="F210" s="5"/>
      <c r="G210" s="6"/>
      <c r="H210" s="7"/>
      <c r="P210" s="8"/>
      <c r="T210" s="9"/>
    </row>
    <row r="211">
      <c r="B211" s="1"/>
      <c r="C211" s="2"/>
      <c r="D211" s="3"/>
      <c r="E211" s="4"/>
      <c r="F211" s="5"/>
      <c r="G211" s="6"/>
      <c r="H211" s="7"/>
      <c r="P211" s="8"/>
      <c r="T211" s="9"/>
    </row>
    <row r="212">
      <c r="B212" s="1"/>
      <c r="C212" s="2"/>
      <c r="D212" s="3"/>
      <c r="E212" s="4"/>
      <c r="F212" s="5"/>
      <c r="G212" s="6"/>
      <c r="H212" s="7"/>
      <c r="P212" s="8"/>
      <c r="T212" s="9"/>
    </row>
    <row r="213">
      <c r="B213" s="1"/>
      <c r="C213" s="2"/>
      <c r="D213" s="3"/>
      <c r="E213" s="4"/>
      <c r="F213" s="5"/>
      <c r="G213" s="6"/>
      <c r="H213" s="7"/>
      <c r="P213" s="8"/>
      <c r="T213" s="9"/>
    </row>
    <row r="214">
      <c r="B214" s="1"/>
      <c r="C214" s="2"/>
      <c r="D214" s="3"/>
      <c r="E214" s="4"/>
      <c r="F214" s="5"/>
      <c r="G214" s="6"/>
      <c r="H214" s="7"/>
      <c r="P214" s="8"/>
      <c r="T214" s="9"/>
    </row>
    <row r="215">
      <c r="B215" s="1"/>
      <c r="C215" s="2"/>
      <c r="D215" s="3"/>
      <c r="E215" s="4"/>
      <c r="F215" s="5"/>
      <c r="G215" s="6"/>
      <c r="H215" s="7"/>
      <c r="P215" s="8"/>
      <c r="T215" s="9"/>
    </row>
    <row r="216">
      <c r="B216" s="1"/>
      <c r="C216" s="2"/>
      <c r="D216" s="3"/>
      <c r="E216" s="4"/>
      <c r="F216" s="5"/>
      <c r="G216" s="6"/>
      <c r="H216" s="7"/>
      <c r="P216" s="8"/>
      <c r="T216" s="9"/>
    </row>
    <row r="217">
      <c r="B217" s="1"/>
      <c r="C217" s="2"/>
      <c r="D217" s="3"/>
      <c r="E217" s="4"/>
      <c r="F217" s="5"/>
      <c r="G217" s="6"/>
      <c r="H217" s="7"/>
      <c r="P217" s="8"/>
      <c r="T217" s="9"/>
    </row>
    <row r="218">
      <c r="B218" s="1"/>
      <c r="C218" s="2"/>
      <c r="D218" s="3"/>
      <c r="E218" s="4"/>
      <c r="F218" s="5"/>
      <c r="G218" s="6"/>
      <c r="H218" s="7"/>
      <c r="P218" s="8"/>
      <c r="T218" s="9"/>
    </row>
    <row r="219">
      <c r="B219" s="1"/>
      <c r="C219" s="2"/>
      <c r="D219" s="3"/>
      <c r="E219" s="4"/>
      <c r="F219" s="5"/>
      <c r="G219" s="6"/>
      <c r="H219" s="7"/>
      <c r="P219" s="8"/>
      <c r="T219" s="9"/>
    </row>
    <row r="220">
      <c r="B220" s="1"/>
      <c r="C220" s="2"/>
      <c r="D220" s="3"/>
      <c r="E220" s="4"/>
      <c r="F220" s="5"/>
      <c r="G220" s="6"/>
      <c r="H220" s="7"/>
      <c r="P220" s="8"/>
      <c r="T220" s="9"/>
    </row>
    <row r="221">
      <c r="B221" s="1"/>
      <c r="C221" s="2"/>
      <c r="D221" s="3"/>
      <c r="E221" s="4"/>
      <c r="F221" s="5"/>
      <c r="G221" s="6"/>
      <c r="H221" s="7"/>
      <c r="P221" s="8"/>
      <c r="T221" s="9"/>
    </row>
    <row r="222">
      <c r="B222" s="1"/>
      <c r="C222" s="2"/>
      <c r="D222" s="3"/>
      <c r="E222" s="4"/>
      <c r="F222" s="5"/>
      <c r="G222" s="6"/>
      <c r="H222" s="7"/>
      <c r="P222" s="8"/>
      <c r="T222" s="9"/>
    </row>
    <row r="223">
      <c r="B223" s="1"/>
      <c r="C223" s="2"/>
      <c r="D223" s="3"/>
      <c r="E223" s="4"/>
      <c r="F223" s="5"/>
      <c r="G223" s="6"/>
      <c r="H223" s="7"/>
      <c r="P223" s="8"/>
      <c r="T223" s="9"/>
    </row>
    <row r="224">
      <c r="B224" s="1"/>
      <c r="C224" s="2"/>
      <c r="D224" s="3"/>
      <c r="E224" s="4"/>
      <c r="F224" s="5"/>
      <c r="G224" s="6"/>
      <c r="H224" s="7"/>
      <c r="P224" s="8"/>
      <c r="T224" s="9"/>
    </row>
    <row r="225">
      <c r="B225" s="1"/>
      <c r="C225" s="2"/>
      <c r="D225" s="3"/>
      <c r="E225" s="4"/>
      <c r="F225" s="5"/>
      <c r="G225" s="6"/>
      <c r="H225" s="7"/>
      <c r="P225" s="8"/>
      <c r="T225" s="9"/>
    </row>
    <row r="226">
      <c r="B226" s="1"/>
      <c r="C226" s="2"/>
      <c r="D226" s="3"/>
      <c r="E226" s="4"/>
      <c r="F226" s="5"/>
      <c r="G226" s="6"/>
      <c r="H226" s="7"/>
      <c r="P226" s="8"/>
      <c r="T226" s="9"/>
    </row>
    <row r="227">
      <c r="B227" s="1"/>
      <c r="C227" s="2"/>
      <c r="D227" s="3"/>
      <c r="E227" s="4"/>
      <c r="F227" s="5"/>
      <c r="G227" s="6"/>
      <c r="H227" s="7"/>
      <c r="P227" s="8"/>
      <c r="T227" s="9"/>
    </row>
    <row r="228">
      <c r="B228" s="1"/>
      <c r="C228" s="2"/>
      <c r="D228" s="3"/>
      <c r="E228" s="4"/>
      <c r="F228" s="5"/>
      <c r="G228" s="6"/>
      <c r="H228" s="7"/>
      <c r="P228" s="8"/>
      <c r="T228" s="9"/>
    </row>
    <row r="229">
      <c r="B229" s="1"/>
      <c r="C229" s="2"/>
      <c r="D229" s="3"/>
      <c r="E229" s="4"/>
      <c r="F229" s="5"/>
      <c r="G229" s="6"/>
      <c r="H229" s="7"/>
      <c r="P229" s="8"/>
      <c r="T229" s="9"/>
    </row>
    <row r="230">
      <c r="B230" s="1"/>
      <c r="C230" s="2"/>
      <c r="D230" s="3"/>
      <c r="E230" s="4"/>
      <c r="F230" s="5"/>
      <c r="G230" s="6"/>
      <c r="H230" s="7"/>
      <c r="P230" s="8"/>
      <c r="T230" s="9"/>
    </row>
    <row r="231">
      <c r="B231" s="1"/>
      <c r="C231" s="2"/>
      <c r="D231" s="3"/>
      <c r="E231" s="4"/>
      <c r="F231" s="5"/>
      <c r="G231" s="6"/>
      <c r="H231" s="7"/>
      <c r="P231" s="8"/>
      <c r="T231" s="9"/>
    </row>
    <row r="232">
      <c r="B232" s="1"/>
      <c r="C232" s="2"/>
      <c r="D232" s="3"/>
      <c r="E232" s="4"/>
      <c r="F232" s="5"/>
      <c r="G232" s="6"/>
      <c r="H232" s="7"/>
      <c r="P232" s="8"/>
      <c r="T232" s="9"/>
    </row>
    <row r="233">
      <c r="B233" s="1"/>
      <c r="C233" s="2"/>
      <c r="D233" s="3"/>
      <c r="E233" s="4"/>
      <c r="F233" s="5"/>
      <c r="G233" s="6"/>
      <c r="H233" s="7"/>
      <c r="P233" s="8"/>
      <c r="T233" s="9"/>
    </row>
    <row r="234">
      <c r="B234" s="1"/>
      <c r="C234" s="2"/>
      <c r="D234" s="3"/>
      <c r="E234" s="4"/>
      <c r="F234" s="5"/>
      <c r="G234" s="6"/>
      <c r="H234" s="7"/>
      <c r="P234" s="8"/>
      <c r="T234" s="9"/>
    </row>
    <row r="235">
      <c r="B235" s="1"/>
      <c r="C235" s="2"/>
      <c r="D235" s="3"/>
      <c r="E235" s="4"/>
      <c r="F235" s="5"/>
      <c r="G235" s="6"/>
      <c r="H235" s="7"/>
      <c r="P235" s="8"/>
      <c r="T235" s="9"/>
    </row>
    <row r="236">
      <c r="B236" s="1"/>
      <c r="C236" s="2"/>
      <c r="D236" s="3"/>
      <c r="E236" s="4"/>
      <c r="F236" s="5"/>
      <c r="G236" s="6"/>
      <c r="H236" s="7"/>
      <c r="P236" s="8"/>
      <c r="T236" s="9"/>
    </row>
    <row r="237">
      <c r="B237" s="1"/>
      <c r="C237" s="2"/>
      <c r="D237" s="3"/>
      <c r="E237" s="4"/>
      <c r="F237" s="5"/>
      <c r="G237" s="6"/>
      <c r="H237" s="7"/>
      <c r="P237" s="8"/>
      <c r="T237" s="9"/>
    </row>
    <row r="238">
      <c r="B238" s="1"/>
      <c r="C238" s="2"/>
      <c r="D238" s="3"/>
      <c r="E238" s="4"/>
      <c r="F238" s="5"/>
      <c r="G238" s="6"/>
      <c r="H238" s="7"/>
      <c r="P238" s="8"/>
      <c r="T238" s="9"/>
    </row>
    <row r="239">
      <c r="B239" s="1"/>
      <c r="C239" s="2"/>
      <c r="D239" s="3"/>
      <c r="E239" s="4"/>
      <c r="F239" s="5"/>
      <c r="G239" s="6"/>
      <c r="H239" s="7"/>
      <c r="P239" s="8"/>
      <c r="T239" s="9"/>
    </row>
    <row r="240">
      <c r="B240" s="1"/>
      <c r="C240" s="2"/>
      <c r="D240" s="3"/>
      <c r="E240" s="4"/>
      <c r="F240" s="5"/>
      <c r="G240" s="6"/>
      <c r="H240" s="7"/>
      <c r="P240" s="8"/>
      <c r="T240" s="9"/>
    </row>
    <row r="241">
      <c r="B241" s="1"/>
      <c r="C241" s="2"/>
      <c r="D241" s="3"/>
      <c r="E241" s="4"/>
      <c r="F241" s="5"/>
      <c r="G241" s="6"/>
      <c r="H241" s="7"/>
      <c r="P241" s="8"/>
      <c r="T241" s="9"/>
    </row>
    <row r="242">
      <c r="B242" s="1"/>
      <c r="C242" s="2"/>
      <c r="D242" s="3"/>
      <c r="E242" s="4"/>
      <c r="F242" s="5"/>
      <c r="G242" s="6"/>
      <c r="H242" s="7"/>
      <c r="P242" s="8"/>
      <c r="T242" s="9"/>
    </row>
    <row r="243">
      <c r="B243" s="1"/>
      <c r="C243" s="2"/>
      <c r="D243" s="3"/>
      <c r="E243" s="4"/>
      <c r="F243" s="5"/>
      <c r="G243" s="6"/>
      <c r="H243" s="7"/>
      <c r="P243" s="8"/>
      <c r="T243" s="9"/>
    </row>
    <row r="244">
      <c r="B244" s="1"/>
      <c r="C244" s="2"/>
      <c r="D244" s="3"/>
      <c r="E244" s="4"/>
      <c r="F244" s="5"/>
      <c r="G244" s="6"/>
      <c r="H244" s="7"/>
      <c r="P244" s="8"/>
      <c r="T244" s="9"/>
    </row>
    <row r="245">
      <c r="B245" s="1"/>
      <c r="C245" s="2"/>
      <c r="D245" s="3"/>
      <c r="E245" s="4"/>
      <c r="F245" s="5"/>
      <c r="G245" s="6"/>
      <c r="H245" s="7"/>
      <c r="P245" s="8"/>
      <c r="T245" s="9"/>
    </row>
    <row r="246">
      <c r="B246" s="1"/>
      <c r="C246" s="2"/>
      <c r="D246" s="3"/>
      <c r="E246" s="4"/>
      <c r="F246" s="5"/>
      <c r="G246" s="6"/>
      <c r="H246" s="7"/>
      <c r="P246" s="8"/>
      <c r="T246" s="9"/>
    </row>
    <row r="247">
      <c r="B247" s="1"/>
      <c r="C247" s="2"/>
      <c r="D247" s="3"/>
      <c r="E247" s="4"/>
      <c r="F247" s="5"/>
      <c r="G247" s="6"/>
      <c r="H247" s="7"/>
      <c r="P247" s="8"/>
      <c r="T247" s="9"/>
    </row>
    <row r="248">
      <c r="B248" s="1"/>
      <c r="C248" s="2"/>
      <c r="D248" s="3"/>
      <c r="E248" s="4"/>
      <c r="F248" s="5"/>
      <c r="G248" s="6"/>
      <c r="H248" s="7"/>
      <c r="P248" s="8"/>
      <c r="T248" s="9"/>
    </row>
    <row r="249">
      <c r="B249" s="1"/>
      <c r="C249" s="2"/>
      <c r="D249" s="3"/>
      <c r="E249" s="4"/>
      <c r="F249" s="5"/>
      <c r="G249" s="6"/>
      <c r="H249" s="7"/>
      <c r="P249" s="8"/>
      <c r="T249" s="9"/>
    </row>
    <row r="250">
      <c r="B250" s="1"/>
      <c r="C250" s="2"/>
      <c r="D250" s="3"/>
      <c r="E250" s="4"/>
      <c r="F250" s="5"/>
      <c r="G250" s="6"/>
      <c r="H250" s="7"/>
      <c r="P250" s="8"/>
      <c r="T250" s="9"/>
    </row>
    <row r="251">
      <c r="B251" s="1"/>
      <c r="C251" s="2"/>
      <c r="D251" s="3"/>
      <c r="E251" s="4"/>
      <c r="F251" s="5"/>
      <c r="G251" s="6"/>
      <c r="H251" s="7"/>
      <c r="P251" s="8"/>
      <c r="T251" s="9"/>
    </row>
    <row r="252">
      <c r="B252" s="1"/>
      <c r="C252" s="2"/>
      <c r="D252" s="3"/>
      <c r="E252" s="4"/>
      <c r="F252" s="5"/>
      <c r="G252" s="6"/>
      <c r="H252" s="7"/>
      <c r="P252" s="8"/>
      <c r="T252" s="9"/>
    </row>
    <row r="253">
      <c r="B253" s="1"/>
      <c r="C253" s="2"/>
      <c r="D253" s="3"/>
      <c r="E253" s="4"/>
      <c r="F253" s="5"/>
      <c r="G253" s="6"/>
      <c r="H253" s="7"/>
      <c r="P253" s="8"/>
      <c r="T253" s="9"/>
    </row>
    <row r="254">
      <c r="B254" s="1"/>
      <c r="C254" s="2"/>
      <c r="D254" s="3"/>
      <c r="E254" s="4"/>
      <c r="F254" s="5"/>
      <c r="G254" s="6"/>
      <c r="H254" s="7"/>
      <c r="P254" s="8"/>
      <c r="T254" s="9"/>
    </row>
    <row r="255">
      <c r="B255" s="1"/>
      <c r="C255" s="2"/>
      <c r="D255" s="3"/>
      <c r="E255" s="4"/>
      <c r="F255" s="5"/>
      <c r="G255" s="6"/>
      <c r="H255" s="7"/>
      <c r="P255" s="8"/>
      <c r="T255" s="9"/>
    </row>
    <row r="256">
      <c r="B256" s="1"/>
      <c r="C256" s="2"/>
      <c r="D256" s="3"/>
      <c r="E256" s="4"/>
      <c r="F256" s="5"/>
      <c r="G256" s="6"/>
      <c r="H256" s="7"/>
      <c r="P256" s="8"/>
      <c r="T256" s="9"/>
    </row>
    <row r="257">
      <c r="B257" s="1"/>
      <c r="C257" s="2"/>
      <c r="D257" s="3"/>
      <c r="E257" s="4"/>
      <c r="F257" s="5"/>
      <c r="G257" s="6"/>
      <c r="H257" s="7"/>
      <c r="P257" s="8"/>
      <c r="T257" s="9"/>
    </row>
    <row r="258">
      <c r="B258" s="1"/>
      <c r="C258" s="2"/>
      <c r="D258" s="3"/>
      <c r="E258" s="4"/>
      <c r="F258" s="5"/>
      <c r="G258" s="6"/>
      <c r="H258" s="7"/>
      <c r="P258" s="8"/>
      <c r="T258" s="9"/>
    </row>
    <row r="259">
      <c r="B259" s="1"/>
      <c r="C259" s="2"/>
      <c r="D259" s="3"/>
      <c r="E259" s="4"/>
      <c r="F259" s="5"/>
      <c r="G259" s="6"/>
      <c r="H259" s="7"/>
      <c r="P259" s="8"/>
      <c r="T259" s="9"/>
    </row>
    <row r="260">
      <c r="B260" s="1"/>
      <c r="C260" s="2"/>
      <c r="D260" s="3"/>
      <c r="E260" s="4"/>
      <c r="F260" s="5"/>
      <c r="G260" s="6"/>
      <c r="H260" s="7"/>
      <c r="P260" s="8"/>
      <c r="T260" s="9"/>
    </row>
    <row r="261">
      <c r="B261" s="1"/>
      <c r="C261" s="2"/>
      <c r="D261" s="3"/>
      <c r="E261" s="4"/>
      <c r="F261" s="5"/>
      <c r="G261" s="6"/>
      <c r="H261" s="7"/>
      <c r="P261" s="8"/>
      <c r="T261" s="9"/>
    </row>
    <row r="262">
      <c r="B262" s="1"/>
      <c r="C262" s="2"/>
      <c r="D262" s="3"/>
      <c r="E262" s="4"/>
      <c r="F262" s="5"/>
      <c r="G262" s="6"/>
      <c r="H262" s="7"/>
      <c r="P262" s="8"/>
      <c r="T262" s="9"/>
    </row>
    <row r="263">
      <c r="B263" s="1"/>
      <c r="C263" s="2"/>
      <c r="D263" s="3"/>
      <c r="E263" s="4"/>
      <c r="F263" s="5"/>
      <c r="G263" s="6"/>
      <c r="H263" s="7"/>
      <c r="P263" s="8"/>
      <c r="T263" s="9"/>
    </row>
    <row r="264">
      <c r="B264" s="1"/>
      <c r="C264" s="2"/>
      <c r="D264" s="3"/>
      <c r="E264" s="4"/>
      <c r="F264" s="5"/>
      <c r="G264" s="6"/>
      <c r="H264" s="7"/>
      <c r="P264" s="8"/>
      <c r="T264" s="9"/>
    </row>
    <row r="265">
      <c r="B265" s="1"/>
      <c r="C265" s="2"/>
      <c r="D265" s="3"/>
      <c r="E265" s="4"/>
      <c r="F265" s="5"/>
      <c r="G265" s="6"/>
      <c r="H265" s="7"/>
      <c r="P265" s="8"/>
      <c r="T265" s="9"/>
    </row>
    <row r="266">
      <c r="B266" s="1"/>
      <c r="C266" s="2"/>
      <c r="D266" s="3"/>
      <c r="E266" s="4"/>
      <c r="F266" s="5"/>
      <c r="G266" s="6"/>
      <c r="H266" s="7"/>
      <c r="P266" s="8"/>
      <c r="T266" s="9"/>
    </row>
    <row r="267">
      <c r="B267" s="1"/>
      <c r="C267" s="2"/>
      <c r="D267" s="3"/>
      <c r="E267" s="4"/>
      <c r="F267" s="5"/>
      <c r="G267" s="6"/>
      <c r="H267" s="7"/>
      <c r="P267" s="8"/>
      <c r="T267" s="9"/>
    </row>
    <row r="268">
      <c r="B268" s="1"/>
      <c r="C268" s="2"/>
      <c r="D268" s="3"/>
      <c r="E268" s="4"/>
      <c r="F268" s="5"/>
      <c r="G268" s="6"/>
      <c r="H268" s="7"/>
      <c r="P268" s="8"/>
      <c r="T268" s="9"/>
    </row>
    <row r="269">
      <c r="B269" s="1"/>
      <c r="C269" s="2"/>
      <c r="D269" s="3"/>
      <c r="E269" s="4"/>
      <c r="F269" s="5"/>
      <c r="G269" s="6"/>
      <c r="H269" s="7"/>
      <c r="P269" s="8"/>
      <c r="T269" s="9"/>
    </row>
    <row r="270">
      <c r="B270" s="1"/>
      <c r="C270" s="2"/>
      <c r="D270" s="3"/>
      <c r="E270" s="4"/>
      <c r="F270" s="5"/>
      <c r="G270" s="6"/>
      <c r="H270" s="7"/>
      <c r="P270" s="8"/>
      <c r="T270" s="9"/>
    </row>
    <row r="271">
      <c r="B271" s="1"/>
      <c r="C271" s="2"/>
      <c r="D271" s="3"/>
      <c r="E271" s="4"/>
      <c r="F271" s="5"/>
      <c r="G271" s="6"/>
      <c r="H271" s="7"/>
      <c r="P271" s="8"/>
      <c r="T271" s="9"/>
    </row>
    <row r="272">
      <c r="B272" s="1"/>
      <c r="C272" s="2"/>
      <c r="D272" s="3"/>
      <c r="E272" s="4"/>
      <c r="F272" s="5"/>
      <c r="G272" s="6"/>
      <c r="H272" s="7"/>
      <c r="P272" s="8"/>
      <c r="T272" s="9"/>
    </row>
    <row r="273">
      <c r="B273" s="1"/>
      <c r="C273" s="2"/>
      <c r="D273" s="3"/>
      <c r="E273" s="4"/>
      <c r="F273" s="5"/>
      <c r="G273" s="6"/>
      <c r="H273" s="7"/>
      <c r="P273" s="8"/>
      <c r="T273" s="9"/>
    </row>
    <row r="274">
      <c r="B274" s="1"/>
      <c r="C274" s="2"/>
      <c r="D274" s="3"/>
      <c r="E274" s="4"/>
      <c r="F274" s="5"/>
      <c r="G274" s="6"/>
      <c r="H274" s="7"/>
      <c r="P274" s="8"/>
      <c r="T274" s="9"/>
    </row>
    <row r="275">
      <c r="B275" s="1"/>
      <c r="C275" s="2"/>
      <c r="D275" s="3"/>
      <c r="E275" s="4"/>
      <c r="F275" s="5"/>
      <c r="G275" s="6"/>
      <c r="H275" s="7"/>
      <c r="P275" s="8"/>
      <c r="T275" s="9"/>
    </row>
    <row r="276">
      <c r="B276" s="1"/>
      <c r="C276" s="2"/>
      <c r="D276" s="3"/>
      <c r="E276" s="4"/>
      <c r="F276" s="5"/>
      <c r="G276" s="6"/>
      <c r="H276" s="7"/>
      <c r="P276" s="8"/>
      <c r="T276" s="9"/>
    </row>
    <row r="277">
      <c r="B277" s="1"/>
      <c r="C277" s="2"/>
      <c r="D277" s="3"/>
      <c r="E277" s="4"/>
      <c r="F277" s="5"/>
      <c r="G277" s="6"/>
      <c r="H277" s="7"/>
      <c r="P277" s="8"/>
      <c r="T277" s="9"/>
    </row>
    <row r="278">
      <c r="B278" s="1"/>
      <c r="C278" s="2"/>
      <c r="D278" s="3"/>
      <c r="E278" s="4"/>
      <c r="F278" s="5"/>
      <c r="G278" s="6"/>
      <c r="H278" s="7"/>
      <c r="P278" s="8"/>
      <c r="T278" s="9"/>
    </row>
    <row r="279">
      <c r="B279" s="1"/>
      <c r="C279" s="2"/>
      <c r="D279" s="3"/>
      <c r="E279" s="4"/>
      <c r="F279" s="5"/>
      <c r="G279" s="6"/>
      <c r="H279" s="7"/>
      <c r="P279" s="8"/>
      <c r="T279" s="9"/>
    </row>
    <row r="280">
      <c r="B280" s="1"/>
      <c r="C280" s="2"/>
      <c r="D280" s="3"/>
      <c r="E280" s="4"/>
      <c r="F280" s="5"/>
      <c r="G280" s="6"/>
      <c r="H280" s="7"/>
      <c r="P280" s="8"/>
      <c r="T280" s="9"/>
    </row>
    <row r="281">
      <c r="B281" s="1"/>
      <c r="C281" s="2"/>
      <c r="D281" s="3"/>
      <c r="E281" s="4"/>
      <c r="F281" s="5"/>
      <c r="G281" s="6"/>
      <c r="H281" s="7"/>
      <c r="P281" s="8"/>
      <c r="T281" s="9"/>
    </row>
    <row r="282">
      <c r="B282" s="1"/>
      <c r="C282" s="2"/>
      <c r="D282" s="3"/>
      <c r="E282" s="4"/>
      <c r="F282" s="5"/>
      <c r="G282" s="6"/>
      <c r="H282" s="7"/>
      <c r="P282" s="8"/>
      <c r="T282" s="9"/>
    </row>
    <row r="283">
      <c r="B283" s="1"/>
      <c r="C283" s="2"/>
      <c r="D283" s="3"/>
      <c r="E283" s="4"/>
      <c r="F283" s="5"/>
      <c r="G283" s="6"/>
      <c r="H283" s="7"/>
      <c r="P283" s="8"/>
      <c r="T283" s="9"/>
    </row>
    <row r="284">
      <c r="B284" s="1"/>
      <c r="C284" s="2"/>
      <c r="D284" s="3"/>
      <c r="E284" s="4"/>
      <c r="F284" s="5"/>
      <c r="G284" s="6"/>
      <c r="H284" s="7"/>
      <c r="P284" s="8"/>
      <c r="T284" s="9"/>
    </row>
    <row r="285">
      <c r="B285" s="1"/>
      <c r="C285" s="2"/>
      <c r="D285" s="3"/>
      <c r="E285" s="4"/>
      <c r="F285" s="5"/>
      <c r="G285" s="6"/>
      <c r="H285" s="7"/>
      <c r="P285" s="8"/>
      <c r="T285" s="9"/>
    </row>
    <row r="286">
      <c r="B286" s="1"/>
      <c r="C286" s="2"/>
      <c r="D286" s="3"/>
      <c r="E286" s="4"/>
      <c r="F286" s="5"/>
      <c r="G286" s="6"/>
      <c r="H286" s="7"/>
      <c r="P286" s="8"/>
      <c r="T286" s="9"/>
    </row>
    <row r="287">
      <c r="B287" s="1"/>
      <c r="C287" s="2"/>
      <c r="D287" s="3"/>
      <c r="E287" s="4"/>
      <c r="F287" s="5"/>
      <c r="G287" s="6"/>
      <c r="H287" s="7"/>
      <c r="P287" s="8"/>
      <c r="T287" s="9"/>
    </row>
    <row r="288">
      <c r="B288" s="1"/>
      <c r="C288" s="2"/>
      <c r="D288" s="3"/>
      <c r="E288" s="4"/>
      <c r="F288" s="5"/>
      <c r="G288" s="6"/>
      <c r="H288" s="7"/>
      <c r="P288" s="8"/>
      <c r="T288" s="9"/>
    </row>
    <row r="289">
      <c r="B289" s="1"/>
      <c r="C289" s="2"/>
      <c r="D289" s="3"/>
      <c r="E289" s="4"/>
      <c r="F289" s="5"/>
      <c r="G289" s="6"/>
      <c r="H289" s="7"/>
      <c r="P289" s="8"/>
      <c r="T289" s="9"/>
    </row>
    <row r="290">
      <c r="B290" s="1"/>
      <c r="C290" s="2"/>
      <c r="D290" s="3"/>
      <c r="E290" s="4"/>
      <c r="F290" s="5"/>
      <c r="G290" s="6"/>
      <c r="H290" s="7"/>
      <c r="P290" s="8"/>
      <c r="T290" s="9"/>
    </row>
    <row r="291">
      <c r="B291" s="1"/>
      <c r="C291" s="2"/>
      <c r="D291" s="3"/>
      <c r="E291" s="4"/>
      <c r="F291" s="5"/>
      <c r="G291" s="6"/>
      <c r="H291" s="7"/>
      <c r="P291" s="8"/>
      <c r="T291" s="9"/>
    </row>
    <row r="292">
      <c r="B292" s="1"/>
      <c r="C292" s="2"/>
      <c r="D292" s="3"/>
      <c r="E292" s="4"/>
      <c r="F292" s="5"/>
      <c r="G292" s="6"/>
      <c r="H292" s="7"/>
      <c r="P292" s="8"/>
      <c r="T292" s="9"/>
    </row>
    <row r="293">
      <c r="B293" s="1"/>
      <c r="C293" s="2"/>
      <c r="D293" s="3"/>
      <c r="E293" s="4"/>
      <c r="F293" s="5"/>
      <c r="G293" s="6"/>
      <c r="H293" s="7"/>
      <c r="P293" s="8"/>
      <c r="T293" s="9"/>
    </row>
    <row r="294">
      <c r="B294" s="1"/>
      <c r="C294" s="2"/>
      <c r="D294" s="3"/>
      <c r="E294" s="4"/>
      <c r="F294" s="5"/>
      <c r="G294" s="6"/>
      <c r="H294" s="7"/>
      <c r="P294" s="8"/>
      <c r="T294" s="9"/>
    </row>
    <row r="295">
      <c r="B295" s="1"/>
      <c r="C295" s="2"/>
      <c r="D295" s="3"/>
      <c r="E295" s="4"/>
      <c r="F295" s="5"/>
      <c r="G295" s="6"/>
      <c r="H295" s="7"/>
      <c r="P295" s="8"/>
      <c r="T295" s="9"/>
    </row>
    <row r="296">
      <c r="B296" s="1"/>
      <c r="C296" s="2"/>
      <c r="D296" s="3"/>
      <c r="E296" s="4"/>
      <c r="F296" s="5"/>
      <c r="G296" s="6"/>
      <c r="H296" s="7"/>
      <c r="P296" s="8"/>
      <c r="T296" s="9"/>
    </row>
    <row r="297">
      <c r="B297" s="1"/>
      <c r="C297" s="2"/>
      <c r="D297" s="3"/>
      <c r="E297" s="4"/>
      <c r="F297" s="5"/>
      <c r="G297" s="6"/>
      <c r="H297" s="7"/>
      <c r="P297" s="8"/>
      <c r="T297" s="9"/>
    </row>
    <row r="298">
      <c r="B298" s="1"/>
      <c r="C298" s="2"/>
      <c r="D298" s="3"/>
      <c r="E298" s="4"/>
      <c r="F298" s="5"/>
      <c r="G298" s="6"/>
      <c r="H298" s="7"/>
      <c r="P298" s="8"/>
      <c r="T298" s="9"/>
    </row>
    <row r="299">
      <c r="B299" s="1"/>
      <c r="C299" s="2"/>
      <c r="D299" s="3"/>
      <c r="E299" s="4"/>
      <c r="F299" s="5"/>
      <c r="G299" s="6"/>
      <c r="H299" s="7"/>
      <c r="P299" s="8"/>
      <c r="T299" s="9"/>
    </row>
    <row r="300">
      <c r="B300" s="1"/>
      <c r="C300" s="2"/>
      <c r="D300" s="3"/>
      <c r="E300" s="4"/>
      <c r="F300" s="5"/>
      <c r="G300" s="6"/>
      <c r="H300" s="7"/>
      <c r="P300" s="8"/>
      <c r="T300" s="9"/>
    </row>
    <row r="301">
      <c r="B301" s="1"/>
      <c r="C301" s="2"/>
      <c r="D301" s="3"/>
      <c r="E301" s="4"/>
      <c r="F301" s="5"/>
      <c r="G301" s="6"/>
      <c r="H301" s="7"/>
      <c r="P301" s="8"/>
      <c r="T301" s="9"/>
    </row>
    <row r="302">
      <c r="B302" s="1"/>
      <c r="C302" s="2"/>
      <c r="D302" s="3"/>
      <c r="E302" s="4"/>
      <c r="F302" s="5"/>
      <c r="G302" s="6"/>
      <c r="H302" s="7"/>
      <c r="P302" s="8"/>
      <c r="T302" s="9"/>
    </row>
    <row r="303">
      <c r="B303" s="1"/>
      <c r="C303" s="2"/>
      <c r="D303" s="3"/>
      <c r="E303" s="4"/>
      <c r="F303" s="5"/>
      <c r="G303" s="6"/>
      <c r="H303" s="7"/>
      <c r="P303" s="8"/>
      <c r="T303" s="9"/>
    </row>
    <row r="304">
      <c r="B304" s="1"/>
      <c r="C304" s="2"/>
      <c r="D304" s="3"/>
      <c r="E304" s="4"/>
      <c r="F304" s="5"/>
      <c r="G304" s="6"/>
      <c r="H304" s="7"/>
      <c r="P304" s="8"/>
      <c r="T304" s="9"/>
    </row>
    <row r="305">
      <c r="B305" s="1"/>
      <c r="C305" s="2"/>
      <c r="D305" s="3"/>
      <c r="E305" s="4"/>
      <c r="F305" s="5"/>
      <c r="G305" s="6"/>
      <c r="H305" s="7"/>
      <c r="P305" s="8"/>
      <c r="T305" s="9"/>
    </row>
    <row r="306">
      <c r="B306" s="1"/>
      <c r="C306" s="2"/>
      <c r="D306" s="3"/>
      <c r="E306" s="4"/>
      <c r="F306" s="5"/>
      <c r="G306" s="6"/>
      <c r="H306" s="7"/>
      <c r="P306" s="8"/>
      <c r="T306" s="9"/>
    </row>
    <row r="307">
      <c r="B307" s="1"/>
      <c r="C307" s="2"/>
      <c r="D307" s="3"/>
      <c r="E307" s="4"/>
      <c r="F307" s="5"/>
      <c r="G307" s="6"/>
      <c r="H307" s="7"/>
      <c r="P307" s="8"/>
      <c r="T307" s="9"/>
    </row>
    <row r="308">
      <c r="B308" s="1"/>
      <c r="C308" s="2"/>
      <c r="D308" s="3"/>
      <c r="E308" s="4"/>
      <c r="F308" s="5"/>
      <c r="G308" s="6"/>
      <c r="H308" s="7"/>
      <c r="P308" s="8"/>
      <c r="T308" s="9"/>
    </row>
    <row r="309">
      <c r="B309" s="1"/>
      <c r="C309" s="2"/>
      <c r="D309" s="3"/>
      <c r="E309" s="4"/>
      <c r="F309" s="5"/>
      <c r="G309" s="6"/>
      <c r="H309" s="7"/>
      <c r="P309" s="8"/>
      <c r="T309" s="9"/>
    </row>
    <row r="310">
      <c r="B310" s="1"/>
      <c r="C310" s="2"/>
      <c r="D310" s="3"/>
      <c r="E310" s="4"/>
      <c r="F310" s="5"/>
      <c r="G310" s="6"/>
      <c r="H310" s="7"/>
      <c r="P310" s="8"/>
      <c r="T310" s="9"/>
    </row>
    <row r="311">
      <c r="B311" s="1"/>
      <c r="C311" s="2"/>
      <c r="D311" s="3"/>
      <c r="E311" s="4"/>
      <c r="F311" s="5"/>
      <c r="G311" s="6"/>
      <c r="H311" s="7"/>
      <c r="P311" s="8"/>
      <c r="T311" s="9"/>
    </row>
    <row r="312">
      <c r="B312" s="1"/>
      <c r="C312" s="2"/>
      <c r="D312" s="3"/>
      <c r="E312" s="4"/>
      <c r="F312" s="5"/>
      <c r="G312" s="6"/>
      <c r="H312" s="7"/>
      <c r="P312" s="8"/>
      <c r="T312" s="9"/>
    </row>
    <row r="313">
      <c r="B313" s="1"/>
      <c r="C313" s="2"/>
      <c r="D313" s="3"/>
      <c r="E313" s="4"/>
      <c r="F313" s="5"/>
      <c r="G313" s="6"/>
      <c r="H313" s="7"/>
      <c r="P313" s="8"/>
      <c r="T313" s="9"/>
    </row>
    <row r="314">
      <c r="B314" s="1"/>
      <c r="C314" s="2"/>
      <c r="D314" s="3"/>
      <c r="E314" s="4"/>
      <c r="F314" s="5"/>
      <c r="G314" s="6"/>
      <c r="H314" s="7"/>
      <c r="P314" s="8"/>
      <c r="T314" s="9"/>
    </row>
    <row r="315">
      <c r="B315" s="1"/>
      <c r="C315" s="2"/>
      <c r="D315" s="3"/>
      <c r="E315" s="4"/>
      <c r="F315" s="5"/>
      <c r="G315" s="6"/>
      <c r="H315" s="7"/>
      <c r="P315" s="8"/>
      <c r="T315" s="9"/>
    </row>
    <row r="316">
      <c r="B316" s="1"/>
      <c r="C316" s="2"/>
      <c r="D316" s="3"/>
      <c r="E316" s="4"/>
      <c r="F316" s="5"/>
      <c r="G316" s="6"/>
      <c r="H316" s="7"/>
      <c r="P316" s="8"/>
      <c r="T316" s="9"/>
    </row>
    <row r="317">
      <c r="B317" s="1"/>
      <c r="C317" s="2"/>
      <c r="D317" s="3"/>
      <c r="E317" s="4"/>
      <c r="F317" s="5"/>
      <c r="G317" s="6"/>
      <c r="H317" s="7"/>
      <c r="P317" s="8"/>
      <c r="T317" s="9"/>
    </row>
    <row r="318">
      <c r="B318" s="1"/>
      <c r="C318" s="2"/>
      <c r="D318" s="3"/>
      <c r="E318" s="4"/>
      <c r="F318" s="5"/>
      <c r="G318" s="6"/>
      <c r="H318" s="7"/>
      <c r="P318" s="8"/>
      <c r="T318" s="9"/>
    </row>
    <row r="319">
      <c r="B319" s="1"/>
      <c r="C319" s="2"/>
      <c r="D319" s="3"/>
      <c r="E319" s="4"/>
      <c r="F319" s="5"/>
      <c r="G319" s="6"/>
      <c r="H319" s="7"/>
      <c r="P319" s="8"/>
      <c r="T319" s="9"/>
    </row>
    <row r="320">
      <c r="B320" s="1"/>
      <c r="C320" s="2"/>
      <c r="D320" s="3"/>
      <c r="E320" s="4"/>
      <c r="F320" s="5"/>
      <c r="G320" s="6"/>
      <c r="H320" s="7"/>
      <c r="P320" s="8"/>
      <c r="T320" s="9"/>
    </row>
    <row r="321">
      <c r="B321" s="1"/>
      <c r="C321" s="2"/>
      <c r="D321" s="3"/>
      <c r="E321" s="4"/>
      <c r="F321" s="5"/>
      <c r="G321" s="6"/>
      <c r="H321" s="7"/>
      <c r="P321" s="8"/>
      <c r="T321" s="9"/>
    </row>
    <row r="322">
      <c r="B322" s="1"/>
      <c r="C322" s="2"/>
      <c r="D322" s="3"/>
      <c r="E322" s="4"/>
      <c r="F322" s="5"/>
      <c r="G322" s="6"/>
      <c r="H322" s="7"/>
      <c r="P322" s="8"/>
      <c r="T322" s="9"/>
    </row>
    <row r="323">
      <c r="B323" s="1"/>
      <c r="C323" s="2"/>
      <c r="D323" s="3"/>
      <c r="E323" s="4"/>
      <c r="F323" s="5"/>
      <c r="G323" s="6"/>
      <c r="H323" s="7"/>
      <c r="P323" s="8"/>
      <c r="T323" s="9"/>
    </row>
    <row r="324">
      <c r="B324" s="1"/>
      <c r="C324" s="2"/>
      <c r="D324" s="3"/>
      <c r="E324" s="4"/>
      <c r="F324" s="5"/>
      <c r="G324" s="6"/>
      <c r="H324" s="7"/>
      <c r="P324" s="8"/>
      <c r="T324" s="9"/>
    </row>
    <row r="325">
      <c r="B325" s="1"/>
      <c r="C325" s="2"/>
      <c r="D325" s="3"/>
      <c r="E325" s="4"/>
      <c r="F325" s="5"/>
      <c r="G325" s="6"/>
      <c r="H325" s="7"/>
      <c r="P325" s="8"/>
      <c r="T325" s="9"/>
    </row>
    <row r="326">
      <c r="B326" s="1"/>
      <c r="C326" s="2"/>
      <c r="D326" s="3"/>
      <c r="E326" s="4"/>
      <c r="F326" s="5"/>
      <c r="G326" s="6"/>
      <c r="H326" s="7"/>
      <c r="P326" s="8"/>
      <c r="T326" s="9"/>
    </row>
    <row r="327">
      <c r="B327" s="1"/>
      <c r="C327" s="2"/>
      <c r="D327" s="3"/>
      <c r="E327" s="4"/>
      <c r="F327" s="5"/>
      <c r="G327" s="6"/>
      <c r="H327" s="7"/>
      <c r="P327" s="8"/>
      <c r="T327" s="9"/>
    </row>
    <row r="328">
      <c r="B328" s="1"/>
      <c r="C328" s="2"/>
      <c r="D328" s="3"/>
      <c r="E328" s="4"/>
      <c r="F328" s="5"/>
      <c r="G328" s="6"/>
      <c r="H328" s="7"/>
      <c r="P328" s="8"/>
      <c r="T328" s="9"/>
    </row>
    <row r="329">
      <c r="B329" s="1"/>
      <c r="C329" s="2"/>
      <c r="D329" s="3"/>
      <c r="E329" s="4"/>
      <c r="F329" s="5"/>
      <c r="G329" s="6"/>
      <c r="H329" s="7"/>
      <c r="P329" s="8"/>
      <c r="T329" s="9"/>
    </row>
    <row r="330">
      <c r="B330" s="1"/>
      <c r="C330" s="2"/>
      <c r="D330" s="3"/>
      <c r="E330" s="4"/>
      <c r="F330" s="5"/>
      <c r="G330" s="6"/>
      <c r="H330" s="7"/>
      <c r="P330" s="8"/>
      <c r="T330" s="9"/>
    </row>
    <row r="331">
      <c r="B331" s="1"/>
      <c r="C331" s="2"/>
      <c r="D331" s="3"/>
      <c r="E331" s="4"/>
      <c r="F331" s="5"/>
      <c r="G331" s="6"/>
      <c r="H331" s="7"/>
      <c r="P331" s="8"/>
      <c r="T331" s="9"/>
    </row>
    <row r="332">
      <c r="B332" s="1"/>
      <c r="C332" s="2"/>
      <c r="D332" s="3"/>
      <c r="E332" s="4"/>
      <c r="F332" s="5"/>
      <c r="G332" s="6"/>
      <c r="H332" s="7"/>
      <c r="P332" s="8"/>
      <c r="T332" s="9"/>
    </row>
    <row r="333">
      <c r="B333" s="1"/>
      <c r="C333" s="2"/>
      <c r="D333" s="3"/>
      <c r="E333" s="4"/>
      <c r="F333" s="5"/>
      <c r="G333" s="6"/>
      <c r="H333" s="7"/>
      <c r="P333" s="8"/>
      <c r="T333" s="9"/>
    </row>
    <row r="334">
      <c r="B334" s="1"/>
      <c r="C334" s="2"/>
      <c r="D334" s="3"/>
      <c r="E334" s="4"/>
      <c r="F334" s="5"/>
      <c r="G334" s="6"/>
      <c r="H334" s="7"/>
      <c r="P334" s="8"/>
      <c r="T334" s="9"/>
    </row>
    <row r="335">
      <c r="B335" s="1"/>
      <c r="C335" s="2"/>
      <c r="D335" s="3"/>
      <c r="E335" s="4"/>
      <c r="F335" s="5"/>
      <c r="G335" s="6"/>
      <c r="H335" s="7"/>
      <c r="P335" s="8"/>
      <c r="T335" s="9"/>
    </row>
    <row r="336">
      <c r="B336" s="1"/>
      <c r="C336" s="2"/>
      <c r="D336" s="3"/>
      <c r="E336" s="4"/>
      <c r="F336" s="5"/>
      <c r="G336" s="6"/>
      <c r="H336" s="7"/>
      <c r="P336" s="8"/>
      <c r="T336" s="9"/>
    </row>
    <row r="337">
      <c r="B337" s="1"/>
      <c r="C337" s="2"/>
      <c r="D337" s="3"/>
      <c r="E337" s="4"/>
      <c r="F337" s="5"/>
      <c r="G337" s="6"/>
      <c r="H337" s="7"/>
      <c r="P337" s="8"/>
      <c r="T337" s="9"/>
    </row>
    <row r="338">
      <c r="B338" s="1"/>
      <c r="C338" s="2"/>
      <c r="D338" s="3"/>
      <c r="E338" s="4"/>
      <c r="F338" s="5"/>
      <c r="G338" s="6"/>
      <c r="H338" s="7"/>
      <c r="P338" s="8"/>
      <c r="T338" s="9"/>
    </row>
    <row r="339">
      <c r="B339" s="1"/>
      <c r="C339" s="2"/>
      <c r="D339" s="3"/>
      <c r="E339" s="4"/>
      <c r="F339" s="5"/>
      <c r="G339" s="6"/>
      <c r="H339" s="7"/>
      <c r="P339" s="8"/>
      <c r="T339" s="9"/>
    </row>
    <row r="340">
      <c r="B340" s="1"/>
      <c r="C340" s="2"/>
      <c r="D340" s="3"/>
      <c r="E340" s="4"/>
      <c r="F340" s="5"/>
      <c r="G340" s="6"/>
      <c r="H340" s="7"/>
      <c r="P340" s="8"/>
      <c r="T340" s="9"/>
    </row>
    <row r="341">
      <c r="B341" s="1"/>
      <c r="C341" s="2"/>
      <c r="D341" s="3"/>
      <c r="E341" s="4"/>
      <c r="F341" s="5"/>
      <c r="G341" s="6"/>
      <c r="H341" s="7"/>
      <c r="P341" s="8"/>
      <c r="T341" s="9"/>
    </row>
    <row r="342">
      <c r="B342" s="1"/>
      <c r="C342" s="2"/>
      <c r="D342" s="3"/>
      <c r="E342" s="4"/>
      <c r="F342" s="5"/>
      <c r="G342" s="6"/>
      <c r="H342" s="7"/>
      <c r="P342" s="8"/>
      <c r="T342" s="9"/>
    </row>
    <row r="343">
      <c r="B343" s="1"/>
      <c r="C343" s="2"/>
      <c r="D343" s="3"/>
      <c r="E343" s="4"/>
      <c r="F343" s="5"/>
      <c r="G343" s="6"/>
      <c r="H343" s="7"/>
      <c r="P343" s="8"/>
      <c r="T343" s="9"/>
    </row>
    <row r="344">
      <c r="B344" s="1"/>
      <c r="C344" s="2"/>
      <c r="D344" s="3"/>
      <c r="E344" s="4"/>
      <c r="F344" s="5"/>
      <c r="G344" s="6"/>
      <c r="H344" s="7"/>
      <c r="P344" s="8"/>
      <c r="T344" s="9"/>
    </row>
    <row r="345">
      <c r="B345" s="1"/>
      <c r="C345" s="2"/>
      <c r="D345" s="3"/>
      <c r="E345" s="4"/>
      <c r="F345" s="5"/>
      <c r="G345" s="6"/>
      <c r="H345" s="7"/>
      <c r="P345" s="8"/>
      <c r="T345" s="9"/>
    </row>
    <row r="346">
      <c r="B346" s="1"/>
      <c r="C346" s="2"/>
      <c r="D346" s="3"/>
      <c r="E346" s="4"/>
      <c r="F346" s="5"/>
      <c r="G346" s="6"/>
      <c r="H346" s="7"/>
      <c r="P346" s="8"/>
      <c r="T346" s="9"/>
    </row>
    <row r="347">
      <c r="B347" s="1"/>
      <c r="C347" s="2"/>
      <c r="D347" s="3"/>
      <c r="E347" s="4"/>
      <c r="F347" s="5"/>
      <c r="G347" s="6"/>
      <c r="H347" s="7"/>
      <c r="P347" s="8"/>
      <c r="T347" s="9"/>
    </row>
    <row r="348">
      <c r="B348" s="1"/>
      <c r="C348" s="2"/>
      <c r="D348" s="3"/>
      <c r="E348" s="4"/>
      <c r="F348" s="5"/>
      <c r="G348" s="6"/>
      <c r="H348" s="7"/>
      <c r="P348" s="8"/>
      <c r="T348" s="9"/>
    </row>
    <row r="349">
      <c r="B349" s="1"/>
      <c r="C349" s="2"/>
      <c r="D349" s="3"/>
      <c r="E349" s="4"/>
      <c r="F349" s="5"/>
      <c r="G349" s="6"/>
      <c r="H349" s="7"/>
      <c r="P349" s="8"/>
      <c r="T349" s="9"/>
    </row>
    <row r="350">
      <c r="B350" s="1"/>
      <c r="C350" s="2"/>
      <c r="D350" s="3"/>
      <c r="E350" s="4"/>
      <c r="F350" s="5"/>
      <c r="G350" s="6"/>
      <c r="H350" s="7"/>
      <c r="P350" s="8"/>
      <c r="T350" s="9"/>
    </row>
    <row r="351">
      <c r="B351" s="1"/>
      <c r="C351" s="2"/>
      <c r="D351" s="3"/>
      <c r="E351" s="4"/>
      <c r="F351" s="5"/>
      <c r="G351" s="6"/>
      <c r="H351" s="7"/>
      <c r="P351" s="8"/>
      <c r="T351" s="9"/>
    </row>
    <row r="352">
      <c r="B352" s="1"/>
      <c r="C352" s="2"/>
      <c r="D352" s="3"/>
      <c r="E352" s="4"/>
      <c r="F352" s="5"/>
      <c r="G352" s="6"/>
      <c r="H352" s="7"/>
      <c r="P352" s="8"/>
      <c r="T352" s="9"/>
    </row>
    <row r="353">
      <c r="B353" s="1"/>
      <c r="C353" s="2"/>
      <c r="D353" s="3"/>
      <c r="E353" s="4"/>
      <c r="F353" s="5"/>
      <c r="G353" s="6"/>
      <c r="H353" s="7"/>
      <c r="P353" s="8"/>
      <c r="T353" s="9"/>
    </row>
    <row r="354">
      <c r="B354" s="1"/>
      <c r="C354" s="2"/>
      <c r="D354" s="3"/>
      <c r="E354" s="4"/>
      <c r="F354" s="5"/>
      <c r="G354" s="6"/>
      <c r="H354" s="7"/>
      <c r="P354" s="8"/>
      <c r="T354" s="9"/>
    </row>
    <row r="355">
      <c r="B355" s="1"/>
      <c r="C355" s="2"/>
      <c r="D355" s="3"/>
      <c r="E355" s="4"/>
      <c r="F355" s="5"/>
      <c r="G355" s="6"/>
      <c r="H355" s="7"/>
      <c r="P355" s="8"/>
      <c r="T355" s="9"/>
    </row>
    <row r="356">
      <c r="B356" s="1"/>
      <c r="C356" s="2"/>
      <c r="D356" s="3"/>
      <c r="E356" s="4"/>
      <c r="F356" s="5"/>
      <c r="G356" s="6"/>
      <c r="H356" s="7"/>
      <c r="P356" s="8"/>
      <c r="T356" s="9"/>
    </row>
    <row r="357">
      <c r="B357" s="1"/>
      <c r="C357" s="2"/>
      <c r="D357" s="3"/>
      <c r="E357" s="4"/>
      <c r="F357" s="5"/>
      <c r="G357" s="6"/>
      <c r="H357" s="7"/>
      <c r="P357" s="8"/>
      <c r="T357" s="9"/>
    </row>
    <row r="358">
      <c r="B358" s="1"/>
      <c r="C358" s="2"/>
      <c r="D358" s="3"/>
      <c r="E358" s="4"/>
      <c r="F358" s="5"/>
      <c r="G358" s="6"/>
      <c r="H358" s="7"/>
      <c r="P358" s="8"/>
      <c r="T358" s="9"/>
    </row>
    <row r="359">
      <c r="B359" s="1"/>
      <c r="C359" s="2"/>
      <c r="D359" s="3"/>
      <c r="E359" s="4"/>
      <c r="F359" s="5"/>
      <c r="G359" s="6"/>
      <c r="H359" s="7"/>
      <c r="P359" s="8"/>
      <c r="T359" s="9"/>
    </row>
    <row r="360">
      <c r="B360" s="1"/>
      <c r="C360" s="2"/>
      <c r="D360" s="3"/>
      <c r="E360" s="4"/>
      <c r="F360" s="5"/>
      <c r="G360" s="6"/>
      <c r="H360" s="7"/>
      <c r="P360" s="8"/>
      <c r="T360" s="9"/>
    </row>
    <row r="361">
      <c r="B361" s="1"/>
      <c r="C361" s="2"/>
      <c r="D361" s="3"/>
      <c r="E361" s="4"/>
      <c r="F361" s="5"/>
      <c r="G361" s="6"/>
      <c r="H361" s="7"/>
      <c r="P361" s="8"/>
      <c r="T361" s="9"/>
    </row>
    <row r="362">
      <c r="B362" s="1"/>
      <c r="C362" s="2"/>
      <c r="D362" s="3"/>
      <c r="E362" s="4"/>
      <c r="F362" s="5"/>
      <c r="G362" s="6"/>
      <c r="H362" s="7"/>
      <c r="P362" s="8"/>
      <c r="T362" s="9"/>
    </row>
    <row r="363">
      <c r="B363" s="1"/>
      <c r="C363" s="2"/>
      <c r="D363" s="3"/>
      <c r="E363" s="4"/>
      <c r="F363" s="5"/>
      <c r="G363" s="6"/>
      <c r="H363" s="7"/>
      <c r="P363" s="8"/>
      <c r="T363" s="9"/>
    </row>
    <row r="364">
      <c r="B364" s="1"/>
      <c r="C364" s="2"/>
      <c r="D364" s="3"/>
      <c r="E364" s="4"/>
      <c r="F364" s="5"/>
      <c r="G364" s="6"/>
      <c r="H364" s="7"/>
      <c r="P364" s="8"/>
      <c r="T364" s="9"/>
    </row>
    <row r="365">
      <c r="B365" s="1"/>
      <c r="C365" s="2"/>
      <c r="D365" s="3"/>
      <c r="E365" s="4"/>
      <c r="F365" s="5"/>
      <c r="G365" s="6"/>
      <c r="H365" s="7"/>
      <c r="P365" s="8"/>
      <c r="T365" s="9"/>
    </row>
    <row r="366">
      <c r="B366" s="1"/>
      <c r="C366" s="2"/>
      <c r="D366" s="3"/>
      <c r="E366" s="4"/>
      <c r="F366" s="5"/>
      <c r="G366" s="6"/>
      <c r="H366" s="7"/>
      <c r="P366" s="8"/>
      <c r="T366" s="9"/>
    </row>
    <row r="367">
      <c r="B367" s="1"/>
      <c r="C367" s="2"/>
      <c r="D367" s="3"/>
      <c r="E367" s="4"/>
      <c r="F367" s="5"/>
      <c r="G367" s="6"/>
      <c r="H367" s="7"/>
      <c r="P367" s="8"/>
      <c r="T367" s="9"/>
    </row>
    <row r="368">
      <c r="B368" s="1"/>
      <c r="C368" s="2"/>
      <c r="D368" s="3"/>
      <c r="E368" s="4"/>
      <c r="F368" s="5"/>
      <c r="G368" s="6"/>
      <c r="H368" s="7"/>
      <c r="P368" s="8"/>
      <c r="T368" s="9"/>
    </row>
    <row r="369">
      <c r="B369" s="1"/>
      <c r="C369" s="2"/>
      <c r="D369" s="3"/>
      <c r="E369" s="4"/>
      <c r="F369" s="5"/>
      <c r="G369" s="6"/>
      <c r="H369" s="7"/>
      <c r="P369" s="8"/>
      <c r="T369" s="9"/>
    </row>
    <row r="370">
      <c r="B370" s="1"/>
      <c r="C370" s="2"/>
      <c r="D370" s="3"/>
      <c r="E370" s="4"/>
      <c r="F370" s="5"/>
      <c r="G370" s="6"/>
      <c r="H370" s="7"/>
      <c r="P370" s="8"/>
      <c r="T370" s="9"/>
    </row>
    <row r="371">
      <c r="B371" s="1"/>
      <c r="C371" s="2"/>
      <c r="D371" s="3"/>
      <c r="E371" s="4"/>
      <c r="F371" s="5"/>
      <c r="G371" s="6"/>
      <c r="H371" s="7"/>
      <c r="P371" s="8"/>
      <c r="T371" s="9"/>
    </row>
    <row r="372">
      <c r="B372" s="1"/>
      <c r="C372" s="2"/>
      <c r="D372" s="3"/>
      <c r="E372" s="4"/>
      <c r="F372" s="5"/>
      <c r="G372" s="6"/>
      <c r="H372" s="7"/>
      <c r="P372" s="8"/>
      <c r="T372" s="9"/>
    </row>
    <row r="373">
      <c r="B373" s="1"/>
      <c r="C373" s="2"/>
      <c r="D373" s="3"/>
      <c r="E373" s="4"/>
      <c r="F373" s="5"/>
      <c r="G373" s="6"/>
      <c r="H373" s="7"/>
      <c r="P373" s="8"/>
      <c r="T373" s="9"/>
    </row>
    <row r="374">
      <c r="B374" s="1"/>
      <c r="C374" s="2"/>
      <c r="D374" s="3"/>
      <c r="E374" s="4"/>
      <c r="F374" s="5"/>
      <c r="G374" s="6"/>
      <c r="H374" s="7"/>
      <c r="P374" s="8"/>
      <c r="T374" s="9"/>
    </row>
    <row r="375">
      <c r="B375" s="1"/>
      <c r="C375" s="2"/>
      <c r="D375" s="3"/>
      <c r="E375" s="4"/>
      <c r="F375" s="5"/>
      <c r="G375" s="6"/>
      <c r="H375" s="7"/>
      <c r="P375" s="8"/>
      <c r="T375" s="9"/>
    </row>
    <row r="376">
      <c r="B376" s="1"/>
      <c r="C376" s="2"/>
      <c r="D376" s="3"/>
      <c r="E376" s="4"/>
      <c r="F376" s="5"/>
      <c r="G376" s="6"/>
      <c r="H376" s="7"/>
      <c r="P376" s="8"/>
      <c r="T376" s="9"/>
    </row>
    <row r="377">
      <c r="B377" s="1"/>
      <c r="C377" s="2"/>
      <c r="D377" s="3"/>
      <c r="E377" s="4"/>
      <c r="F377" s="5"/>
      <c r="G377" s="6"/>
      <c r="H377" s="7"/>
      <c r="P377" s="8"/>
      <c r="T377" s="9"/>
    </row>
    <row r="378">
      <c r="B378" s="1"/>
      <c r="C378" s="2"/>
      <c r="D378" s="3"/>
      <c r="E378" s="4"/>
      <c r="F378" s="5"/>
      <c r="G378" s="6"/>
      <c r="H378" s="7"/>
      <c r="P378" s="8"/>
      <c r="T378" s="9"/>
    </row>
    <row r="379">
      <c r="B379" s="1"/>
      <c r="C379" s="2"/>
      <c r="D379" s="3"/>
      <c r="E379" s="4"/>
      <c r="F379" s="5"/>
      <c r="G379" s="6"/>
      <c r="H379" s="7"/>
      <c r="P379" s="8"/>
      <c r="T379" s="9"/>
    </row>
    <row r="380">
      <c r="B380" s="1"/>
      <c r="C380" s="2"/>
      <c r="D380" s="3"/>
      <c r="E380" s="4"/>
      <c r="F380" s="5"/>
      <c r="G380" s="6"/>
      <c r="H380" s="7"/>
      <c r="P380" s="8"/>
      <c r="T380" s="9"/>
    </row>
    <row r="381">
      <c r="B381" s="1"/>
      <c r="C381" s="2"/>
      <c r="D381" s="3"/>
      <c r="E381" s="4"/>
      <c r="F381" s="5"/>
      <c r="G381" s="6"/>
      <c r="H381" s="7"/>
      <c r="P381" s="8"/>
      <c r="T381" s="9"/>
    </row>
    <row r="382">
      <c r="B382" s="1"/>
      <c r="C382" s="2"/>
      <c r="D382" s="3"/>
      <c r="E382" s="4"/>
      <c r="F382" s="5"/>
      <c r="G382" s="6"/>
      <c r="H382" s="7"/>
      <c r="P382" s="8"/>
      <c r="T382" s="9"/>
    </row>
    <row r="383">
      <c r="B383" s="1"/>
      <c r="C383" s="2"/>
      <c r="D383" s="3"/>
      <c r="E383" s="4"/>
      <c r="F383" s="5"/>
      <c r="G383" s="6"/>
      <c r="H383" s="7"/>
      <c r="P383" s="8"/>
      <c r="T383" s="9"/>
    </row>
    <row r="384">
      <c r="B384" s="1"/>
      <c r="C384" s="2"/>
      <c r="D384" s="3"/>
      <c r="E384" s="4"/>
      <c r="F384" s="5"/>
      <c r="G384" s="6"/>
      <c r="H384" s="7"/>
      <c r="P384" s="8"/>
      <c r="T384" s="9"/>
    </row>
    <row r="385">
      <c r="B385" s="1"/>
      <c r="C385" s="2"/>
      <c r="D385" s="3"/>
      <c r="E385" s="4"/>
      <c r="F385" s="5"/>
      <c r="G385" s="6"/>
      <c r="H385" s="7"/>
      <c r="P385" s="8"/>
      <c r="T385" s="9"/>
    </row>
    <row r="386">
      <c r="B386" s="1"/>
      <c r="C386" s="2"/>
      <c r="D386" s="3"/>
      <c r="E386" s="4"/>
      <c r="F386" s="5"/>
      <c r="G386" s="6"/>
      <c r="H386" s="7"/>
      <c r="P386" s="8"/>
      <c r="T386" s="9"/>
    </row>
    <row r="387">
      <c r="B387" s="1"/>
      <c r="C387" s="2"/>
      <c r="D387" s="3"/>
      <c r="E387" s="4"/>
      <c r="F387" s="5"/>
      <c r="G387" s="6"/>
      <c r="H387" s="7"/>
      <c r="P387" s="8"/>
      <c r="T387" s="9"/>
    </row>
    <row r="388">
      <c r="B388" s="1"/>
      <c r="C388" s="2"/>
      <c r="D388" s="3"/>
      <c r="E388" s="4"/>
      <c r="F388" s="5"/>
      <c r="G388" s="6"/>
      <c r="H388" s="7"/>
      <c r="P388" s="8"/>
      <c r="T388" s="9"/>
    </row>
    <row r="389">
      <c r="B389" s="1"/>
      <c r="C389" s="2"/>
      <c r="D389" s="3"/>
      <c r="E389" s="4"/>
      <c r="F389" s="5"/>
      <c r="G389" s="6"/>
      <c r="H389" s="7"/>
      <c r="P389" s="8"/>
      <c r="T389" s="9"/>
    </row>
    <row r="390">
      <c r="B390" s="1"/>
      <c r="C390" s="2"/>
      <c r="D390" s="3"/>
      <c r="E390" s="4"/>
      <c r="F390" s="5"/>
      <c r="G390" s="6"/>
      <c r="H390" s="7"/>
      <c r="P390" s="8"/>
      <c r="T390" s="9"/>
    </row>
    <row r="391">
      <c r="B391" s="1"/>
      <c r="C391" s="2"/>
      <c r="D391" s="3"/>
      <c r="E391" s="4"/>
      <c r="F391" s="5"/>
      <c r="G391" s="6"/>
      <c r="H391" s="7"/>
      <c r="P391" s="8"/>
      <c r="T391" s="9"/>
    </row>
    <row r="392">
      <c r="B392" s="1"/>
      <c r="C392" s="2"/>
      <c r="D392" s="3"/>
      <c r="E392" s="4"/>
      <c r="F392" s="5"/>
      <c r="G392" s="6"/>
      <c r="H392" s="7"/>
      <c r="P392" s="8"/>
      <c r="T392" s="9"/>
    </row>
    <row r="393">
      <c r="B393" s="1"/>
      <c r="C393" s="2"/>
      <c r="D393" s="3"/>
      <c r="E393" s="4"/>
      <c r="F393" s="5"/>
      <c r="G393" s="6"/>
      <c r="H393" s="7"/>
      <c r="P393" s="8"/>
      <c r="T393" s="9"/>
    </row>
    <row r="394">
      <c r="B394" s="1"/>
      <c r="C394" s="2"/>
      <c r="D394" s="3"/>
      <c r="E394" s="4"/>
      <c r="F394" s="5"/>
      <c r="G394" s="6"/>
      <c r="H394" s="7"/>
      <c r="P394" s="8"/>
      <c r="T394" s="9"/>
    </row>
    <row r="395">
      <c r="B395" s="1"/>
      <c r="C395" s="2"/>
      <c r="D395" s="3"/>
      <c r="E395" s="4"/>
      <c r="F395" s="5"/>
      <c r="G395" s="6"/>
      <c r="H395" s="7"/>
      <c r="P395" s="8"/>
      <c r="T395" s="9"/>
    </row>
    <row r="396">
      <c r="B396" s="1"/>
      <c r="C396" s="2"/>
      <c r="D396" s="3"/>
      <c r="E396" s="4"/>
      <c r="F396" s="5"/>
      <c r="G396" s="6"/>
      <c r="H396" s="7"/>
      <c r="P396" s="8"/>
      <c r="T396" s="9"/>
    </row>
    <row r="397">
      <c r="B397" s="1"/>
      <c r="C397" s="2"/>
      <c r="D397" s="3"/>
      <c r="E397" s="4"/>
      <c r="F397" s="5"/>
      <c r="G397" s="6"/>
      <c r="H397" s="7"/>
      <c r="P397" s="8"/>
      <c r="T397" s="9"/>
    </row>
    <row r="398">
      <c r="B398" s="1"/>
      <c r="C398" s="2"/>
      <c r="D398" s="3"/>
      <c r="E398" s="4"/>
      <c r="F398" s="5"/>
      <c r="G398" s="6"/>
      <c r="H398" s="7"/>
      <c r="P398" s="8"/>
      <c r="T398" s="9"/>
    </row>
    <row r="399">
      <c r="B399" s="1"/>
      <c r="C399" s="2"/>
      <c r="D399" s="3"/>
      <c r="E399" s="4"/>
      <c r="F399" s="5"/>
      <c r="G399" s="6"/>
      <c r="H399" s="7"/>
      <c r="P399" s="8"/>
      <c r="T399" s="9"/>
    </row>
    <row r="400">
      <c r="B400" s="1"/>
      <c r="C400" s="2"/>
      <c r="D400" s="3"/>
      <c r="E400" s="4"/>
      <c r="F400" s="5"/>
      <c r="G400" s="6"/>
      <c r="H400" s="7"/>
      <c r="P400" s="8"/>
      <c r="T400" s="9"/>
    </row>
    <row r="401">
      <c r="B401" s="1"/>
      <c r="C401" s="2"/>
      <c r="D401" s="3"/>
      <c r="E401" s="4"/>
      <c r="F401" s="5"/>
      <c r="G401" s="6"/>
      <c r="H401" s="7"/>
      <c r="P401" s="8"/>
      <c r="T401" s="9"/>
    </row>
    <row r="402">
      <c r="B402" s="1"/>
      <c r="C402" s="2"/>
      <c r="D402" s="3"/>
      <c r="E402" s="4"/>
      <c r="F402" s="5"/>
      <c r="G402" s="6"/>
      <c r="H402" s="7"/>
      <c r="P402" s="8"/>
      <c r="T402" s="9"/>
    </row>
    <row r="403">
      <c r="B403" s="1"/>
      <c r="C403" s="2"/>
      <c r="D403" s="3"/>
      <c r="E403" s="4"/>
      <c r="F403" s="5"/>
      <c r="G403" s="6"/>
      <c r="H403" s="7"/>
      <c r="P403" s="8"/>
      <c r="T403" s="9"/>
    </row>
    <row r="404">
      <c r="B404" s="1"/>
      <c r="C404" s="2"/>
      <c r="D404" s="3"/>
      <c r="E404" s="4"/>
      <c r="F404" s="5"/>
      <c r="G404" s="6"/>
      <c r="H404" s="7"/>
      <c r="P404" s="8"/>
      <c r="T404" s="9"/>
    </row>
    <row r="405">
      <c r="B405" s="1"/>
      <c r="C405" s="2"/>
      <c r="D405" s="3"/>
      <c r="E405" s="4"/>
      <c r="F405" s="5"/>
      <c r="G405" s="6"/>
      <c r="H405" s="7"/>
      <c r="P405" s="8"/>
      <c r="T405" s="9"/>
    </row>
    <row r="406">
      <c r="B406" s="1"/>
      <c r="C406" s="2"/>
      <c r="D406" s="3"/>
      <c r="E406" s="4"/>
      <c r="F406" s="5"/>
      <c r="G406" s="6"/>
      <c r="H406" s="7"/>
      <c r="P406" s="8"/>
      <c r="T406" s="9"/>
    </row>
    <row r="407">
      <c r="B407" s="1"/>
      <c r="C407" s="2"/>
      <c r="D407" s="3"/>
      <c r="E407" s="4"/>
      <c r="F407" s="5"/>
      <c r="G407" s="6"/>
      <c r="H407" s="7"/>
      <c r="P407" s="8"/>
      <c r="T407" s="9"/>
    </row>
    <row r="408">
      <c r="B408" s="1"/>
      <c r="C408" s="2"/>
      <c r="D408" s="3"/>
      <c r="E408" s="4"/>
      <c r="F408" s="5"/>
      <c r="G408" s="6"/>
      <c r="H408" s="7"/>
      <c r="P408" s="8"/>
      <c r="T408" s="9"/>
    </row>
    <row r="409">
      <c r="B409" s="1"/>
      <c r="C409" s="2"/>
      <c r="D409" s="3"/>
      <c r="E409" s="4"/>
      <c r="F409" s="5"/>
      <c r="G409" s="6"/>
      <c r="H409" s="7"/>
      <c r="P409" s="8"/>
      <c r="T409" s="9"/>
    </row>
    <row r="410">
      <c r="B410" s="1"/>
      <c r="C410" s="2"/>
      <c r="D410" s="3"/>
      <c r="E410" s="4"/>
      <c r="F410" s="5"/>
      <c r="G410" s="6"/>
      <c r="H410" s="7"/>
      <c r="P410" s="8"/>
      <c r="T410" s="9"/>
    </row>
    <row r="411">
      <c r="B411" s="1"/>
      <c r="C411" s="2"/>
      <c r="D411" s="3"/>
      <c r="E411" s="4"/>
      <c r="F411" s="5"/>
      <c r="G411" s="6"/>
      <c r="H411" s="7"/>
      <c r="P411" s="8"/>
      <c r="T411" s="9"/>
    </row>
    <row r="412">
      <c r="B412" s="1"/>
      <c r="C412" s="2"/>
      <c r="D412" s="3"/>
      <c r="E412" s="4"/>
      <c r="F412" s="5"/>
      <c r="G412" s="6"/>
      <c r="H412" s="7"/>
      <c r="P412" s="8"/>
      <c r="T412" s="9"/>
    </row>
    <row r="413">
      <c r="B413" s="1"/>
      <c r="C413" s="2"/>
      <c r="D413" s="3"/>
      <c r="E413" s="4"/>
      <c r="F413" s="5"/>
      <c r="G413" s="6"/>
      <c r="H413" s="7"/>
      <c r="P413" s="8"/>
      <c r="T413" s="9"/>
    </row>
    <row r="414">
      <c r="B414" s="1"/>
      <c r="C414" s="2"/>
      <c r="D414" s="3"/>
      <c r="E414" s="4"/>
      <c r="F414" s="5"/>
      <c r="G414" s="6"/>
      <c r="H414" s="7"/>
      <c r="P414" s="8"/>
      <c r="T414" s="9"/>
    </row>
    <row r="415">
      <c r="B415" s="1"/>
      <c r="C415" s="2"/>
      <c r="D415" s="3"/>
      <c r="E415" s="4"/>
      <c r="F415" s="5"/>
      <c r="G415" s="6"/>
      <c r="H415" s="7"/>
      <c r="P415" s="8"/>
      <c r="T415" s="9"/>
    </row>
    <row r="416">
      <c r="B416" s="1"/>
      <c r="C416" s="2"/>
      <c r="D416" s="3"/>
      <c r="E416" s="4"/>
      <c r="F416" s="5"/>
      <c r="G416" s="6"/>
      <c r="H416" s="7"/>
      <c r="P416" s="8"/>
      <c r="T416" s="9"/>
    </row>
    <row r="417">
      <c r="B417" s="1"/>
      <c r="C417" s="2"/>
      <c r="D417" s="3"/>
      <c r="E417" s="4"/>
      <c r="F417" s="5"/>
      <c r="G417" s="6"/>
      <c r="H417" s="7"/>
      <c r="P417" s="8"/>
      <c r="T417" s="9"/>
    </row>
    <row r="418">
      <c r="B418" s="1"/>
      <c r="C418" s="2"/>
      <c r="D418" s="3"/>
      <c r="E418" s="4"/>
      <c r="F418" s="5"/>
      <c r="G418" s="6"/>
      <c r="H418" s="7"/>
      <c r="P418" s="8"/>
      <c r="T418" s="9"/>
    </row>
    <row r="419">
      <c r="B419" s="1"/>
      <c r="C419" s="2"/>
      <c r="D419" s="3"/>
      <c r="E419" s="4"/>
      <c r="F419" s="5"/>
      <c r="G419" s="6"/>
      <c r="H419" s="7"/>
      <c r="P419" s="8"/>
      <c r="T419" s="9"/>
    </row>
    <row r="420">
      <c r="B420" s="1"/>
      <c r="C420" s="2"/>
      <c r="D420" s="3"/>
      <c r="E420" s="4"/>
      <c r="F420" s="5"/>
      <c r="G420" s="6"/>
      <c r="H420" s="7"/>
      <c r="P420" s="8"/>
      <c r="T420" s="9"/>
    </row>
    <row r="421">
      <c r="B421" s="1"/>
      <c r="C421" s="2"/>
      <c r="D421" s="3"/>
      <c r="E421" s="4"/>
      <c r="F421" s="5"/>
      <c r="G421" s="6"/>
      <c r="H421" s="7"/>
      <c r="P421" s="8"/>
      <c r="T421" s="9"/>
    </row>
    <row r="422">
      <c r="B422" s="1"/>
      <c r="C422" s="2"/>
      <c r="D422" s="3"/>
      <c r="E422" s="4"/>
      <c r="F422" s="5"/>
      <c r="G422" s="6"/>
      <c r="H422" s="7"/>
      <c r="P422" s="8"/>
      <c r="T422" s="9"/>
    </row>
    <row r="423">
      <c r="B423" s="1"/>
      <c r="C423" s="2"/>
      <c r="D423" s="3"/>
      <c r="E423" s="4"/>
      <c r="F423" s="5"/>
      <c r="G423" s="6"/>
      <c r="H423" s="7"/>
      <c r="P423" s="8"/>
      <c r="T423" s="9"/>
    </row>
    <row r="424">
      <c r="B424" s="1"/>
      <c r="C424" s="2"/>
      <c r="D424" s="3"/>
      <c r="E424" s="4"/>
      <c r="F424" s="5"/>
      <c r="G424" s="6"/>
      <c r="H424" s="7"/>
      <c r="P424" s="8"/>
      <c r="T424" s="9"/>
    </row>
    <row r="425">
      <c r="B425" s="1"/>
      <c r="C425" s="2"/>
      <c r="D425" s="3"/>
      <c r="E425" s="4"/>
      <c r="F425" s="5"/>
      <c r="G425" s="6"/>
      <c r="H425" s="7"/>
      <c r="P425" s="8"/>
      <c r="T425" s="9"/>
    </row>
    <row r="426">
      <c r="B426" s="1"/>
      <c r="C426" s="2"/>
      <c r="D426" s="3"/>
      <c r="E426" s="4"/>
      <c r="F426" s="5"/>
      <c r="G426" s="6"/>
      <c r="H426" s="7"/>
      <c r="P426" s="8"/>
      <c r="T426" s="9"/>
    </row>
    <row r="427">
      <c r="B427" s="1"/>
      <c r="C427" s="2"/>
      <c r="D427" s="3"/>
      <c r="E427" s="4"/>
      <c r="F427" s="5"/>
      <c r="G427" s="6"/>
      <c r="H427" s="7"/>
      <c r="P427" s="8"/>
      <c r="T427" s="9"/>
    </row>
    <row r="428">
      <c r="B428" s="1"/>
      <c r="C428" s="2"/>
      <c r="D428" s="3"/>
      <c r="E428" s="4"/>
      <c r="F428" s="5"/>
      <c r="G428" s="6"/>
      <c r="H428" s="7"/>
      <c r="P428" s="8"/>
      <c r="T428" s="9"/>
    </row>
    <row r="429">
      <c r="B429" s="1"/>
      <c r="C429" s="2"/>
      <c r="D429" s="3"/>
      <c r="E429" s="4"/>
      <c r="F429" s="5"/>
      <c r="G429" s="6"/>
      <c r="H429" s="7"/>
      <c r="P429" s="8"/>
      <c r="T429" s="9"/>
    </row>
    <row r="430">
      <c r="B430" s="1"/>
      <c r="C430" s="2"/>
      <c r="D430" s="3"/>
      <c r="E430" s="4"/>
      <c r="F430" s="5"/>
      <c r="G430" s="6"/>
      <c r="H430" s="7"/>
      <c r="P430" s="8"/>
      <c r="T430" s="9"/>
    </row>
    <row r="431">
      <c r="B431" s="1"/>
      <c r="C431" s="2"/>
      <c r="D431" s="3"/>
      <c r="E431" s="4"/>
      <c r="F431" s="5"/>
      <c r="G431" s="6"/>
      <c r="H431" s="7"/>
      <c r="P431" s="8"/>
      <c r="T431" s="9"/>
    </row>
    <row r="432">
      <c r="B432" s="1"/>
      <c r="C432" s="2"/>
      <c r="D432" s="3"/>
      <c r="E432" s="4"/>
      <c r="F432" s="5"/>
      <c r="G432" s="6"/>
      <c r="H432" s="7"/>
      <c r="P432" s="8"/>
      <c r="T432" s="9"/>
    </row>
    <row r="433">
      <c r="B433" s="1"/>
      <c r="C433" s="2"/>
      <c r="D433" s="3"/>
      <c r="E433" s="4"/>
      <c r="F433" s="5"/>
      <c r="G433" s="6"/>
      <c r="H433" s="7"/>
      <c r="P433" s="8"/>
      <c r="T433" s="9"/>
    </row>
    <row r="434">
      <c r="B434" s="1"/>
      <c r="C434" s="2"/>
      <c r="D434" s="3"/>
      <c r="E434" s="4"/>
      <c r="F434" s="5"/>
      <c r="G434" s="6"/>
      <c r="H434" s="7"/>
      <c r="P434" s="8"/>
      <c r="T434" s="9"/>
    </row>
    <row r="435">
      <c r="B435" s="1"/>
      <c r="C435" s="2"/>
      <c r="D435" s="3"/>
      <c r="E435" s="4"/>
      <c r="F435" s="5"/>
      <c r="G435" s="6"/>
      <c r="H435" s="7"/>
      <c r="P435" s="8"/>
      <c r="T435" s="9"/>
    </row>
    <row r="436">
      <c r="B436" s="1"/>
      <c r="C436" s="2"/>
      <c r="D436" s="3"/>
      <c r="E436" s="4"/>
      <c r="F436" s="5"/>
      <c r="G436" s="6"/>
      <c r="H436" s="7"/>
      <c r="P436" s="8"/>
      <c r="T436" s="9"/>
    </row>
    <row r="437">
      <c r="B437" s="1"/>
      <c r="C437" s="2"/>
      <c r="D437" s="3"/>
      <c r="E437" s="4"/>
      <c r="F437" s="5"/>
      <c r="G437" s="6"/>
      <c r="H437" s="7"/>
      <c r="P437" s="8"/>
      <c r="T437" s="9"/>
    </row>
    <row r="438">
      <c r="B438" s="1"/>
      <c r="C438" s="2"/>
      <c r="D438" s="3"/>
      <c r="E438" s="4"/>
      <c r="F438" s="5"/>
      <c r="G438" s="6"/>
      <c r="H438" s="7"/>
      <c r="P438" s="8"/>
      <c r="T438" s="9"/>
    </row>
    <row r="439">
      <c r="B439" s="1"/>
      <c r="C439" s="2"/>
      <c r="D439" s="3"/>
      <c r="E439" s="4"/>
      <c r="F439" s="5"/>
      <c r="G439" s="6"/>
      <c r="H439" s="7"/>
      <c r="P439" s="8"/>
      <c r="T439" s="9"/>
    </row>
    <row r="440">
      <c r="B440" s="1"/>
      <c r="C440" s="2"/>
      <c r="D440" s="3"/>
      <c r="E440" s="4"/>
      <c r="F440" s="5"/>
      <c r="G440" s="6"/>
      <c r="H440" s="7"/>
      <c r="P440" s="8"/>
      <c r="T440" s="9"/>
    </row>
    <row r="441">
      <c r="B441" s="1"/>
      <c r="C441" s="2"/>
      <c r="D441" s="3"/>
      <c r="E441" s="4"/>
      <c r="F441" s="5"/>
      <c r="G441" s="6"/>
      <c r="H441" s="7"/>
      <c r="P441" s="8"/>
      <c r="T441" s="9"/>
    </row>
    <row r="442">
      <c r="B442" s="1"/>
      <c r="C442" s="2"/>
      <c r="D442" s="3"/>
      <c r="E442" s="4"/>
      <c r="F442" s="5"/>
      <c r="G442" s="6"/>
      <c r="H442" s="7"/>
      <c r="P442" s="8"/>
      <c r="T442" s="9"/>
    </row>
    <row r="443">
      <c r="B443" s="1"/>
      <c r="C443" s="2"/>
      <c r="D443" s="3"/>
      <c r="E443" s="4"/>
      <c r="F443" s="5"/>
      <c r="G443" s="6"/>
      <c r="H443" s="7"/>
      <c r="P443" s="8"/>
      <c r="T443" s="9"/>
    </row>
    <row r="444">
      <c r="B444" s="1"/>
      <c r="C444" s="2"/>
      <c r="D444" s="3"/>
      <c r="E444" s="4"/>
      <c r="F444" s="5"/>
      <c r="G444" s="6"/>
      <c r="H444" s="7"/>
      <c r="P444" s="8"/>
      <c r="T444" s="9"/>
    </row>
    <row r="445">
      <c r="B445" s="1"/>
      <c r="C445" s="2"/>
      <c r="D445" s="3"/>
      <c r="E445" s="4"/>
      <c r="F445" s="5"/>
      <c r="G445" s="6"/>
      <c r="H445" s="7"/>
      <c r="P445" s="8"/>
      <c r="T445" s="9"/>
    </row>
    <row r="446">
      <c r="B446" s="1"/>
      <c r="C446" s="2"/>
      <c r="D446" s="3"/>
      <c r="E446" s="4"/>
      <c r="F446" s="5"/>
      <c r="G446" s="6"/>
      <c r="H446" s="7"/>
      <c r="P446" s="8"/>
      <c r="T446" s="9"/>
    </row>
    <row r="447">
      <c r="B447" s="1"/>
      <c r="C447" s="2"/>
      <c r="D447" s="3"/>
      <c r="E447" s="4"/>
      <c r="F447" s="5"/>
      <c r="G447" s="6"/>
      <c r="H447" s="7"/>
      <c r="P447" s="8"/>
      <c r="T447" s="9"/>
    </row>
    <row r="448">
      <c r="B448" s="1"/>
      <c r="C448" s="2"/>
      <c r="D448" s="3"/>
      <c r="E448" s="4"/>
      <c r="F448" s="5"/>
      <c r="G448" s="6"/>
      <c r="H448" s="7"/>
      <c r="P448" s="8"/>
      <c r="T448" s="9"/>
    </row>
    <row r="449">
      <c r="B449" s="1"/>
      <c r="C449" s="2"/>
      <c r="D449" s="3"/>
      <c r="E449" s="4"/>
      <c r="F449" s="5"/>
      <c r="G449" s="6"/>
      <c r="H449" s="7"/>
      <c r="P449" s="8"/>
      <c r="T449" s="9"/>
    </row>
    <row r="450">
      <c r="B450" s="1"/>
      <c r="C450" s="2"/>
      <c r="D450" s="3"/>
      <c r="E450" s="4"/>
      <c r="F450" s="5"/>
      <c r="G450" s="6"/>
      <c r="H450" s="7"/>
      <c r="P450" s="8"/>
      <c r="T450" s="9"/>
    </row>
    <row r="451">
      <c r="B451" s="1"/>
      <c r="C451" s="2"/>
      <c r="D451" s="3"/>
      <c r="E451" s="4"/>
      <c r="F451" s="5"/>
      <c r="G451" s="6"/>
      <c r="H451" s="7"/>
      <c r="P451" s="8"/>
      <c r="T451" s="9"/>
    </row>
    <row r="452">
      <c r="B452" s="1"/>
      <c r="C452" s="2"/>
      <c r="D452" s="3"/>
      <c r="E452" s="4"/>
      <c r="F452" s="5"/>
      <c r="G452" s="6"/>
      <c r="H452" s="7"/>
      <c r="P452" s="8"/>
      <c r="T452" s="9"/>
    </row>
    <row r="453">
      <c r="B453" s="1"/>
      <c r="C453" s="2"/>
      <c r="D453" s="3"/>
      <c r="E453" s="4"/>
      <c r="F453" s="5"/>
      <c r="G453" s="6"/>
      <c r="H453" s="7"/>
      <c r="P453" s="8"/>
      <c r="T453" s="9"/>
    </row>
    <row r="454">
      <c r="B454" s="1"/>
      <c r="C454" s="2"/>
      <c r="D454" s="3"/>
      <c r="E454" s="4"/>
      <c r="F454" s="5"/>
      <c r="G454" s="6"/>
      <c r="H454" s="7"/>
      <c r="P454" s="8"/>
      <c r="T454" s="9"/>
    </row>
    <row r="455">
      <c r="B455" s="1"/>
      <c r="C455" s="2"/>
      <c r="D455" s="3"/>
      <c r="E455" s="4"/>
      <c r="F455" s="5"/>
      <c r="G455" s="6"/>
      <c r="H455" s="7"/>
      <c r="P455" s="8"/>
      <c r="T455" s="9"/>
    </row>
    <row r="456">
      <c r="B456" s="1"/>
      <c r="C456" s="2"/>
      <c r="D456" s="3"/>
      <c r="E456" s="4"/>
      <c r="F456" s="5"/>
      <c r="G456" s="6"/>
      <c r="H456" s="7"/>
      <c r="P456" s="8"/>
      <c r="T456" s="9"/>
    </row>
    <row r="457">
      <c r="B457" s="1"/>
      <c r="C457" s="2"/>
      <c r="D457" s="3"/>
      <c r="E457" s="4"/>
      <c r="F457" s="5"/>
      <c r="G457" s="6"/>
      <c r="H457" s="7"/>
      <c r="P457" s="8"/>
      <c r="T457" s="9"/>
    </row>
    <row r="458">
      <c r="B458" s="1"/>
      <c r="C458" s="2"/>
      <c r="D458" s="3"/>
      <c r="E458" s="4"/>
      <c r="F458" s="5"/>
      <c r="G458" s="6"/>
      <c r="H458" s="7"/>
      <c r="P458" s="8"/>
      <c r="T458" s="9"/>
    </row>
    <row r="459">
      <c r="B459" s="1"/>
      <c r="C459" s="2"/>
      <c r="D459" s="3"/>
      <c r="E459" s="4"/>
      <c r="F459" s="5"/>
      <c r="G459" s="6"/>
      <c r="H459" s="7"/>
      <c r="P459" s="8"/>
      <c r="T459" s="9"/>
    </row>
    <row r="460">
      <c r="B460" s="1"/>
      <c r="C460" s="2"/>
      <c r="D460" s="3"/>
      <c r="E460" s="4"/>
      <c r="F460" s="5"/>
      <c r="G460" s="6"/>
      <c r="H460" s="7"/>
      <c r="P460" s="8"/>
      <c r="T460" s="9"/>
    </row>
    <row r="461">
      <c r="B461" s="1"/>
      <c r="C461" s="2"/>
      <c r="D461" s="3"/>
      <c r="E461" s="4"/>
      <c r="F461" s="5"/>
      <c r="G461" s="6"/>
      <c r="H461" s="7"/>
      <c r="P461" s="8"/>
      <c r="T461" s="9"/>
    </row>
    <row r="462">
      <c r="B462" s="1"/>
      <c r="C462" s="2"/>
      <c r="D462" s="3"/>
      <c r="E462" s="4"/>
      <c r="F462" s="5"/>
      <c r="G462" s="6"/>
      <c r="H462" s="7"/>
      <c r="P462" s="8"/>
      <c r="T462" s="9"/>
    </row>
    <row r="463">
      <c r="B463" s="1"/>
      <c r="C463" s="2"/>
      <c r="D463" s="3"/>
      <c r="E463" s="4"/>
      <c r="F463" s="5"/>
      <c r="G463" s="6"/>
      <c r="H463" s="7"/>
      <c r="P463" s="8"/>
      <c r="T463" s="9"/>
    </row>
    <row r="464">
      <c r="B464" s="1"/>
      <c r="C464" s="2"/>
      <c r="D464" s="3"/>
      <c r="E464" s="4"/>
      <c r="F464" s="5"/>
      <c r="G464" s="6"/>
      <c r="H464" s="7"/>
      <c r="P464" s="8"/>
      <c r="T464" s="9"/>
    </row>
    <row r="465">
      <c r="B465" s="1"/>
      <c r="C465" s="2"/>
      <c r="D465" s="3"/>
      <c r="E465" s="4"/>
      <c r="F465" s="5"/>
      <c r="G465" s="6"/>
      <c r="H465" s="7"/>
      <c r="P465" s="8"/>
      <c r="T465" s="9"/>
    </row>
    <row r="466">
      <c r="B466" s="1"/>
      <c r="C466" s="2"/>
      <c r="D466" s="3"/>
      <c r="E466" s="4"/>
      <c r="F466" s="5"/>
      <c r="G466" s="6"/>
      <c r="H466" s="7"/>
      <c r="P466" s="8"/>
      <c r="T466" s="9"/>
    </row>
    <row r="467">
      <c r="B467" s="1"/>
      <c r="C467" s="2"/>
      <c r="D467" s="3"/>
      <c r="E467" s="4"/>
      <c r="F467" s="5"/>
      <c r="G467" s="6"/>
      <c r="H467" s="7"/>
      <c r="P467" s="8"/>
      <c r="T467" s="9"/>
    </row>
    <row r="468">
      <c r="B468" s="1"/>
      <c r="C468" s="2"/>
      <c r="D468" s="3"/>
      <c r="E468" s="4"/>
      <c r="F468" s="5"/>
      <c r="G468" s="6"/>
      <c r="H468" s="7"/>
      <c r="P468" s="8"/>
      <c r="T468" s="9"/>
    </row>
    <row r="469">
      <c r="B469" s="1"/>
      <c r="C469" s="2"/>
      <c r="D469" s="3"/>
      <c r="E469" s="4"/>
      <c r="F469" s="5"/>
      <c r="G469" s="6"/>
      <c r="H469" s="7"/>
      <c r="P469" s="8"/>
      <c r="T469" s="9"/>
    </row>
    <row r="470">
      <c r="B470" s="1"/>
      <c r="C470" s="2"/>
      <c r="D470" s="3"/>
      <c r="E470" s="4"/>
      <c r="F470" s="5"/>
      <c r="G470" s="6"/>
      <c r="H470" s="7"/>
      <c r="P470" s="8"/>
      <c r="T470" s="9"/>
    </row>
    <row r="471">
      <c r="B471" s="1"/>
      <c r="C471" s="2"/>
      <c r="D471" s="3"/>
      <c r="E471" s="4"/>
      <c r="F471" s="5"/>
      <c r="G471" s="6"/>
      <c r="H471" s="7"/>
      <c r="P471" s="8"/>
      <c r="T471" s="9"/>
    </row>
    <row r="472">
      <c r="B472" s="1"/>
      <c r="C472" s="2"/>
      <c r="D472" s="3"/>
      <c r="E472" s="4"/>
      <c r="F472" s="5"/>
      <c r="G472" s="6"/>
      <c r="H472" s="7"/>
      <c r="P472" s="8"/>
      <c r="T472" s="9"/>
    </row>
    <row r="473">
      <c r="B473" s="1"/>
      <c r="C473" s="2"/>
      <c r="D473" s="3"/>
      <c r="E473" s="4"/>
      <c r="F473" s="5"/>
      <c r="G473" s="6"/>
      <c r="H473" s="7"/>
      <c r="P473" s="8"/>
      <c r="T473" s="9"/>
    </row>
    <row r="474">
      <c r="B474" s="1"/>
      <c r="C474" s="2"/>
      <c r="D474" s="3"/>
      <c r="E474" s="4"/>
      <c r="F474" s="5"/>
      <c r="G474" s="6"/>
      <c r="H474" s="7"/>
      <c r="P474" s="8"/>
      <c r="T474" s="9"/>
    </row>
    <row r="475">
      <c r="B475" s="1"/>
      <c r="C475" s="2"/>
      <c r="D475" s="3"/>
      <c r="E475" s="4"/>
      <c r="F475" s="5"/>
      <c r="G475" s="6"/>
      <c r="H475" s="7"/>
      <c r="P475" s="8"/>
      <c r="T475" s="9"/>
    </row>
    <row r="476">
      <c r="B476" s="1"/>
      <c r="C476" s="2"/>
      <c r="D476" s="3"/>
      <c r="E476" s="4"/>
      <c r="F476" s="5"/>
      <c r="G476" s="6"/>
      <c r="H476" s="7"/>
      <c r="P476" s="8"/>
      <c r="T476" s="9"/>
    </row>
    <row r="477">
      <c r="B477" s="1"/>
      <c r="C477" s="2"/>
      <c r="D477" s="3"/>
      <c r="E477" s="4"/>
      <c r="F477" s="5"/>
      <c r="G477" s="6"/>
      <c r="H477" s="7"/>
      <c r="P477" s="8"/>
      <c r="T477" s="9"/>
    </row>
    <row r="478">
      <c r="B478" s="1"/>
      <c r="C478" s="2"/>
      <c r="D478" s="3"/>
      <c r="E478" s="4"/>
      <c r="F478" s="5"/>
      <c r="G478" s="6"/>
      <c r="H478" s="7"/>
      <c r="P478" s="8"/>
      <c r="T478" s="9"/>
    </row>
    <row r="479">
      <c r="B479" s="1"/>
      <c r="C479" s="2"/>
      <c r="D479" s="3"/>
      <c r="E479" s="4"/>
      <c r="F479" s="5"/>
      <c r="G479" s="6"/>
      <c r="H479" s="7"/>
      <c r="P479" s="8"/>
      <c r="T479" s="9"/>
    </row>
    <row r="480">
      <c r="B480" s="1"/>
      <c r="C480" s="2"/>
      <c r="D480" s="3"/>
      <c r="E480" s="4"/>
      <c r="F480" s="5"/>
      <c r="G480" s="6"/>
      <c r="H480" s="7"/>
      <c r="P480" s="8"/>
      <c r="T480" s="9"/>
    </row>
    <row r="481">
      <c r="B481" s="1"/>
      <c r="C481" s="2"/>
      <c r="D481" s="3"/>
      <c r="E481" s="4"/>
      <c r="F481" s="5"/>
      <c r="G481" s="6"/>
      <c r="H481" s="7"/>
      <c r="P481" s="8"/>
      <c r="T481" s="9"/>
    </row>
    <row r="482">
      <c r="B482" s="1"/>
      <c r="C482" s="2"/>
      <c r="D482" s="3"/>
      <c r="E482" s="4"/>
      <c r="F482" s="5"/>
      <c r="G482" s="6"/>
      <c r="H482" s="7"/>
      <c r="P482" s="8"/>
      <c r="T482" s="9"/>
    </row>
    <row r="483">
      <c r="B483" s="1"/>
      <c r="C483" s="2"/>
      <c r="D483" s="3"/>
      <c r="E483" s="4"/>
      <c r="F483" s="5"/>
      <c r="G483" s="6"/>
      <c r="H483" s="7"/>
      <c r="P483" s="8"/>
      <c r="T483" s="9"/>
    </row>
    <row r="484">
      <c r="B484" s="1"/>
      <c r="C484" s="2"/>
      <c r="D484" s="3"/>
      <c r="E484" s="4"/>
      <c r="F484" s="5"/>
      <c r="G484" s="6"/>
      <c r="H484" s="7"/>
      <c r="P484" s="8"/>
      <c r="T484" s="9"/>
    </row>
    <row r="485">
      <c r="B485" s="1"/>
      <c r="C485" s="2"/>
      <c r="D485" s="3"/>
      <c r="E485" s="4"/>
      <c r="F485" s="5"/>
      <c r="G485" s="6"/>
      <c r="H485" s="7"/>
      <c r="P485" s="8"/>
      <c r="T485" s="9"/>
    </row>
    <row r="486">
      <c r="B486" s="1"/>
      <c r="C486" s="2"/>
      <c r="D486" s="3"/>
      <c r="E486" s="4"/>
      <c r="F486" s="5"/>
      <c r="G486" s="6"/>
      <c r="H486" s="7"/>
      <c r="P486" s="8"/>
      <c r="T486" s="9"/>
    </row>
    <row r="487">
      <c r="B487" s="1"/>
      <c r="C487" s="2"/>
      <c r="D487" s="3"/>
      <c r="E487" s="4"/>
      <c r="F487" s="5"/>
      <c r="G487" s="6"/>
      <c r="H487" s="7"/>
      <c r="P487" s="8"/>
      <c r="T487" s="9"/>
    </row>
    <row r="488">
      <c r="B488" s="1"/>
      <c r="C488" s="2"/>
      <c r="D488" s="3"/>
      <c r="E488" s="4"/>
      <c r="F488" s="5"/>
      <c r="G488" s="6"/>
      <c r="H488" s="7"/>
      <c r="P488" s="8"/>
      <c r="T488" s="9"/>
    </row>
    <row r="489">
      <c r="B489" s="1"/>
      <c r="C489" s="2"/>
      <c r="D489" s="3"/>
      <c r="E489" s="4"/>
      <c r="F489" s="5"/>
      <c r="G489" s="6"/>
      <c r="H489" s="7"/>
      <c r="P489" s="8"/>
      <c r="T489" s="9"/>
    </row>
    <row r="490">
      <c r="B490" s="1"/>
      <c r="C490" s="2"/>
      <c r="D490" s="3"/>
      <c r="E490" s="4"/>
      <c r="F490" s="5"/>
      <c r="G490" s="6"/>
      <c r="H490" s="7"/>
      <c r="P490" s="8"/>
      <c r="T490" s="9"/>
    </row>
    <row r="491">
      <c r="B491" s="1"/>
      <c r="C491" s="2"/>
      <c r="D491" s="3"/>
      <c r="E491" s="4"/>
      <c r="F491" s="5"/>
      <c r="G491" s="6"/>
      <c r="H491" s="7"/>
      <c r="P491" s="8"/>
      <c r="T491" s="9"/>
    </row>
    <row r="492">
      <c r="B492" s="1"/>
      <c r="C492" s="2"/>
      <c r="D492" s="3"/>
      <c r="E492" s="4"/>
      <c r="F492" s="5"/>
      <c r="G492" s="6"/>
      <c r="H492" s="7"/>
      <c r="P492" s="8"/>
      <c r="T492" s="9"/>
    </row>
    <row r="493">
      <c r="B493" s="1"/>
      <c r="C493" s="2"/>
      <c r="D493" s="3"/>
      <c r="E493" s="4"/>
      <c r="F493" s="5"/>
      <c r="G493" s="6"/>
      <c r="H493" s="7"/>
      <c r="P493" s="8"/>
      <c r="T493" s="9"/>
    </row>
    <row r="494">
      <c r="B494" s="1"/>
      <c r="C494" s="2"/>
      <c r="D494" s="3"/>
      <c r="E494" s="4"/>
      <c r="F494" s="5"/>
      <c r="G494" s="6"/>
      <c r="H494" s="7"/>
      <c r="P494" s="8"/>
      <c r="T494" s="9"/>
    </row>
    <row r="495">
      <c r="B495" s="1"/>
      <c r="C495" s="2"/>
      <c r="D495" s="3"/>
      <c r="E495" s="4"/>
      <c r="F495" s="5"/>
      <c r="G495" s="6"/>
      <c r="H495" s="7"/>
      <c r="P495" s="8"/>
      <c r="T495" s="9"/>
    </row>
    <row r="496">
      <c r="B496" s="1"/>
      <c r="C496" s="2"/>
      <c r="D496" s="3"/>
      <c r="E496" s="4"/>
      <c r="F496" s="5"/>
      <c r="G496" s="6"/>
      <c r="H496" s="7"/>
      <c r="P496" s="8"/>
      <c r="T496" s="9"/>
    </row>
    <row r="497">
      <c r="B497" s="1"/>
      <c r="C497" s="2"/>
      <c r="D497" s="3"/>
      <c r="E497" s="4"/>
      <c r="F497" s="5"/>
      <c r="G497" s="6"/>
      <c r="H497" s="7"/>
      <c r="P497" s="8"/>
      <c r="T497" s="9"/>
    </row>
    <row r="498">
      <c r="B498" s="1"/>
      <c r="C498" s="2"/>
      <c r="D498" s="3"/>
      <c r="E498" s="4"/>
      <c r="F498" s="5"/>
      <c r="G498" s="6"/>
      <c r="H498" s="7"/>
      <c r="P498" s="8"/>
      <c r="T498" s="9"/>
    </row>
    <row r="499">
      <c r="B499" s="1"/>
      <c r="C499" s="2"/>
      <c r="D499" s="3"/>
      <c r="E499" s="4"/>
      <c r="F499" s="5"/>
      <c r="G499" s="6"/>
      <c r="H499" s="7"/>
      <c r="P499" s="8"/>
      <c r="T499" s="9"/>
    </row>
    <row r="500">
      <c r="B500" s="1"/>
      <c r="C500" s="2"/>
      <c r="D500" s="3"/>
      <c r="E500" s="4"/>
      <c r="F500" s="5"/>
      <c r="G500" s="6"/>
      <c r="H500" s="7"/>
      <c r="P500" s="8"/>
      <c r="T500" s="9"/>
    </row>
    <row r="501">
      <c r="B501" s="1"/>
      <c r="C501" s="2"/>
      <c r="D501" s="3"/>
      <c r="E501" s="4"/>
      <c r="F501" s="5"/>
      <c r="G501" s="6"/>
      <c r="H501" s="7"/>
      <c r="P501" s="8"/>
      <c r="T501" s="9"/>
    </row>
    <row r="502">
      <c r="B502" s="1"/>
      <c r="C502" s="2"/>
      <c r="D502" s="3"/>
      <c r="E502" s="4"/>
      <c r="F502" s="5"/>
      <c r="G502" s="6"/>
      <c r="H502" s="7"/>
      <c r="P502" s="8"/>
      <c r="T502" s="9"/>
    </row>
    <row r="503">
      <c r="B503" s="1"/>
      <c r="C503" s="2"/>
      <c r="D503" s="3"/>
      <c r="E503" s="4"/>
      <c r="F503" s="5"/>
      <c r="G503" s="6"/>
      <c r="H503" s="7"/>
      <c r="P503" s="8"/>
      <c r="T503" s="9"/>
    </row>
    <row r="504">
      <c r="B504" s="1"/>
      <c r="C504" s="2"/>
      <c r="D504" s="3"/>
      <c r="E504" s="4"/>
      <c r="F504" s="5"/>
      <c r="G504" s="6"/>
      <c r="H504" s="7"/>
      <c r="P504" s="8"/>
      <c r="T504" s="9"/>
    </row>
    <row r="505">
      <c r="B505" s="1"/>
      <c r="C505" s="2"/>
      <c r="D505" s="3"/>
      <c r="E505" s="4"/>
      <c r="F505" s="5"/>
      <c r="G505" s="6"/>
      <c r="H505" s="7"/>
      <c r="P505" s="8"/>
      <c r="T505" s="9"/>
    </row>
    <row r="506">
      <c r="B506" s="1"/>
      <c r="C506" s="2"/>
      <c r="D506" s="3"/>
      <c r="E506" s="4"/>
      <c r="F506" s="5"/>
      <c r="G506" s="6"/>
      <c r="H506" s="7"/>
      <c r="P506" s="8"/>
      <c r="T506" s="9"/>
    </row>
    <row r="507">
      <c r="B507" s="1"/>
      <c r="C507" s="2"/>
      <c r="D507" s="3"/>
      <c r="E507" s="4"/>
      <c r="F507" s="5"/>
      <c r="G507" s="6"/>
      <c r="H507" s="7"/>
      <c r="P507" s="8"/>
      <c r="T507" s="9"/>
    </row>
    <row r="508">
      <c r="B508" s="1"/>
      <c r="C508" s="2"/>
      <c r="D508" s="3"/>
      <c r="E508" s="4"/>
      <c r="F508" s="5"/>
      <c r="G508" s="6"/>
      <c r="H508" s="7"/>
      <c r="P508" s="8"/>
      <c r="T508" s="9"/>
    </row>
    <row r="509">
      <c r="B509" s="1"/>
      <c r="C509" s="2"/>
      <c r="D509" s="3"/>
      <c r="E509" s="4"/>
      <c r="F509" s="5"/>
      <c r="G509" s="6"/>
      <c r="H509" s="7"/>
      <c r="P509" s="8"/>
      <c r="T509" s="9"/>
    </row>
    <row r="510">
      <c r="B510" s="1"/>
      <c r="C510" s="2"/>
      <c r="D510" s="3"/>
      <c r="E510" s="4"/>
      <c r="F510" s="5"/>
      <c r="G510" s="6"/>
      <c r="H510" s="7"/>
      <c r="P510" s="8"/>
      <c r="T510" s="9"/>
    </row>
    <row r="511">
      <c r="B511" s="1"/>
      <c r="C511" s="2"/>
      <c r="D511" s="3"/>
      <c r="E511" s="4"/>
      <c r="F511" s="5"/>
      <c r="G511" s="6"/>
      <c r="H511" s="7"/>
      <c r="P511" s="8"/>
      <c r="T511" s="9"/>
    </row>
    <row r="512">
      <c r="B512" s="1"/>
      <c r="C512" s="2"/>
      <c r="D512" s="3"/>
      <c r="E512" s="4"/>
      <c r="F512" s="5"/>
      <c r="G512" s="6"/>
      <c r="H512" s="7"/>
      <c r="P512" s="8"/>
      <c r="T512" s="9"/>
    </row>
    <row r="513">
      <c r="B513" s="1"/>
      <c r="C513" s="2"/>
      <c r="D513" s="3"/>
      <c r="E513" s="4"/>
      <c r="F513" s="5"/>
      <c r="G513" s="6"/>
      <c r="H513" s="7"/>
      <c r="P513" s="8"/>
      <c r="T513" s="9"/>
    </row>
    <row r="514">
      <c r="B514" s="1"/>
      <c r="C514" s="2"/>
      <c r="D514" s="3"/>
      <c r="E514" s="4"/>
      <c r="F514" s="5"/>
      <c r="G514" s="6"/>
      <c r="H514" s="7"/>
      <c r="P514" s="8"/>
      <c r="T514" s="9"/>
    </row>
    <row r="515">
      <c r="B515" s="1"/>
      <c r="C515" s="2"/>
      <c r="D515" s="3"/>
      <c r="E515" s="4"/>
      <c r="F515" s="5"/>
      <c r="G515" s="6"/>
      <c r="H515" s="7"/>
      <c r="P515" s="8"/>
      <c r="T515" s="9"/>
    </row>
    <row r="516">
      <c r="B516" s="1"/>
      <c r="C516" s="2"/>
      <c r="D516" s="3"/>
      <c r="E516" s="4"/>
      <c r="F516" s="5"/>
      <c r="G516" s="6"/>
      <c r="H516" s="7"/>
      <c r="P516" s="8"/>
      <c r="T516" s="9"/>
    </row>
    <row r="517">
      <c r="B517" s="1"/>
      <c r="C517" s="2"/>
      <c r="D517" s="3"/>
      <c r="E517" s="4"/>
      <c r="F517" s="5"/>
      <c r="G517" s="6"/>
      <c r="H517" s="7"/>
      <c r="P517" s="8"/>
      <c r="T517" s="9"/>
    </row>
    <row r="518">
      <c r="B518" s="1"/>
      <c r="C518" s="2"/>
      <c r="D518" s="3"/>
      <c r="E518" s="4"/>
      <c r="F518" s="5"/>
      <c r="G518" s="6"/>
      <c r="H518" s="7"/>
      <c r="P518" s="8"/>
      <c r="T518" s="9"/>
    </row>
    <row r="519">
      <c r="B519" s="1"/>
      <c r="C519" s="2"/>
      <c r="D519" s="3"/>
      <c r="E519" s="4"/>
      <c r="F519" s="5"/>
      <c r="G519" s="6"/>
      <c r="H519" s="7"/>
      <c r="P519" s="8"/>
      <c r="T519" s="9"/>
    </row>
    <row r="520">
      <c r="B520" s="1"/>
      <c r="C520" s="2"/>
      <c r="D520" s="3"/>
      <c r="E520" s="4"/>
      <c r="F520" s="5"/>
      <c r="G520" s="6"/>
      <c r="H520" s="7"/>
      <c r="P520" s="8"/>
      <c r="T520" s="9"/>
    </row>
    <row r="521">
      <c r="B521" s="1"/>
      <c r="C521" s="2"/>
      <c r="D521" s="3"/>
      <c r="E521" s="4"/>
      <c r="F521" s="5"/>
      <c r="G521" s="6"/>
      <c r="H521" s="7"/>
      <c r="P521" s="8"/>
      <c r="T521" s="9"/>
    </row>
    <row r="522">
      <c r="B522" s="1"/>
      <c r="C522" s="2"/>
      <c r="D522" s="3"/>
      <c r="E522" s="4"/>
      <c r="F522" s="5"/>
      <c r="G522" s="6"/>
      <c r="H522" s="7"/>
      <c r="P522" s="8"/>
      <c r="T522" s="9"/>
    </row>
    <row r="523">
      <c r="B523" s="1"/>
      <c r="C523" s="2"/>
      <c r="D523" s="3"/>
      <c r="E523" s="4"/>
      <c r="F523" s="5"/>
      <c r="G523" s="6"/>
      <c r="H523" s="7"/>
      <c r="P523" s="8"/>
      <c r="T523" s="9"/>
    </row>
    <row r="524">
      <c r="B524" s="1"/>
      <c r="C524" s="2"/>
      <c r="D524" s="3"/>
      <c r="E524" s="4"/>
      <c r="F524" s="5"/>
      <c r="G524" s="6"/>
      <c r="H524" s="7"/>
      <c r="P524" s="8"/>
      <c r="T524" s="9"/>
    </row>
    <row r="525">
      <c r="B525" s="1"/>
      <c r="C525" s="2"/>
      <c r="D525" s="3"/>
      <c r="E525" s="4"/>
      <c r="F525" s="5"/>
      <c r="G525" s="6"/>
      <c r="H525" s="7"/>
      <c r="P525" s="8"/>
      <c r="T525" s="9"/>
    </row>
    <row r="526">
      <c r="B526" s="1"/>
      <c r="C526" s="2"/>
      <c r="D526" s="3"/>
      <c r="E526" s="4"/>
      <c r="F526" s="5"/>
      <c r="G526" s="6"/>
      <c r="H526" s="7"/>
      <c r="P526" s="8"/>
      <c r="T526" s="9"/>
    </row>
    <row r="527">
      <c r="B527" s="1"/>
      <c r="C527" s="2"/>
      <c r="D527" s="3"/>
      <c r="E527" s="4"/>
      <c r="F527" s="5"/>
      <c r="G527" s="6"/>
      <c r="H527" s="7"/>
      <c r="P527" s="8"/>
      <c r="T527" s="9"/>
    </row>
    <row r="528">
      <c r="B528" s="1"/>
      <c r="C528" s="2"/>
      <c r="D528" s="3"/>
      <c r="E528" s="4"/>
      <c r="F528" s="5"/>
      <c r="G528" s="6"/>
      <c r="H528" s="7"/>
      <c r="P528" s="8"/>
      <c r="T528" s="9"/>
    </row>
    <row r="529">
      <c r="B529" s="1"/>
      <c r="C529" s="2"/>
      <c r="D529" s="3"/>
      <c r="E529" s="4"/>
      <c r="F529" s="5"/>
      <c r="G529" s="6"/>
      <c r="H529" s="7"/>
      <c r="P529" s="8"/>
      <c r="T529" s="9"/>
    </row>
    <row r="530">
      <c r="B530" s="1"/>
      <c r="C530" s="2"/>
      <c r="D530" s="3"/>
      <c r="E530" s="4"/>
      <c r="F530" s="5"/>
      <c r="G530" s="6"/>
      <c r="H530" s="7"/>
      <c r="P530" s="8"/>
      <c r="T530" s="9"/>
    </row>
    <row r="531">
      <c r="B531" s="1"/>
      <c r="C531" s="2"/>
      <c r="D531" s="3"/>
      <c r="E531" s="4"/>
      <c r="F531" s="5"/>
      <c r="G531" s="6"/>
      <c r="H531" s="7"/>
      <c r="P531" s="8"/>
      <c r="T531" s="9"/>
    </row>
    <row r="532">
      <c r="B532" s="1"/>
      <c r="C532" s="2"/>
      <c r="D532" s="3"/>
      <c r="E532" s="4"/>
      <c r="F532" s="5"/>
      <c r="G532" s="6"/>
      <c r="H532" s="7"/>
      <c r="P532" s="8"/>
      <c r="T532" s="9"/>
    </row>
    <row r="533">
      <c r="B533" s="1"/>
      <c r="C533" s="2"/>
      <c r="D533" s="3"/>
      <c r="E533" s="4"/>
      <c r="F533" s="5"/>
      <c r="G533" s="6"/>
      <c r="H533" s="7"/>
      <c r="P533" s="8"/>
      <c r="T533" s="9"/>
    </row>
    <row r="534">
      <c r="B534" s="1"/>
      <c r="C534" s="2"/>
      <c r="D534" s="3"/>
      <c r="E534" s="4"/>
      <c r="F534" s="5"/>
      <c r="G534" s="6"/>
      <c r="H534" s="7"/>
      <c r="P534" s="8"/>
      <c r="T534" s="9"/>
    </row>
    <row r="535">
      <c r="B535" s="1"/>
      <c r="C535" s="2"/>
      <c r="D535" s="3"/>
      <c r="E535" s="4"/>
      <c r="F535" s="5"/>
      <c r="G535" s="6"/>
      <c r="H535" s="7"/>
      <c r="P535" s="8"/>
      <c r="T535" s="9"/>
    </row>
    <row r="536">
      <c r="B536" s="1"/>
      <c r="C536" s="2"/>
      <c r="D536" s="3"/>
      <c r="E536" s="4"/>
      <c r="F536" s="5"/>
      <c r="G536" s="6"/>
      <c r="H536" s="7"/>
      <c r="P536" s="8"/>
      <c r="T536" s="9"/>
    </row>
    <row r="537">
      <c r="B537" s="1"/>
      <c r="C537" s="2"/>
      <c r="D537" s="3"/>
      <c r="E537" s="4"/>
      <c r="F537" s="5"/>
      <c r="G537" s="6"/>
      <c r="H537" s="7"/>
      <c r="P537" s="8"/>
      <c r="T537" s="9"/>
    </row>
    <row r="538">
      <c r="B538" s="1"/>
      <c r="C538" s="2"/>
      <c r="D538" s="3"/>
      <c r="E538" s="4"/>
      <c r="F538" s="5"/>
      <c r="G538" s="6"/>
      <c r="H538" s="7"/>
      <c r="P538" s="8"/>
      <c r="T538" s="9"/>
    </row>
    <row r="539">
      <c r="B539" s="1"/>
      <c r="C539" s="2"/>
      <c r="D539" s="3"/>
      <c r="E539" s="4"/>
      <c r="F539" s="5"/>
      <c r="G539" s="6"/>
      <c r="H539" s="7"/>
      <c r="P539" s="8"/>
      <c r="T539" s="9"/>
    </row>
    <row r="540">
      <c r="B540" s="1"/>
      <c r="C540" s="2"/>
      <c r="D540" s="3"/>
      <c r="E540" s="4"/>
      <c r="F540" s="5"/>
      <c r="G540" s="6"/>
      <c r="H540" s="7"/>
      <c r="P540" s="8"/>
      <c r="T540" s="9"/>
    </row>
    <row r="541">
      <c r="B541" s="1"/>
      <c r="C541" s="2"/>
      <c r="D541" s="3"/>
      <c r="E541" s="4"/>
      <c r="F541" s="5"/>
      <c r="G541" s="6"/>
      <c r="H541" s="7"/>
      <c r="P541" s="8"/>
      <c r="T541" s="9"/>
    </row>
    <row r="542">
      <c r="B542" s="1"/>
      <c r="C542" s="2"/>
      <c r="D542" s="3"/>
      <c r="E542" s="4"/>
      <c r="F542" s="5"/>
      <c r="G542" s="6"/>
      <c r="H542" s="7"/>
      <c r="P542" s="8"/>
      <c r="T542" s="9"/>
    </row>
    <row r="543">
      <c r="B543" s="1"/>
      <c r="C543" s="2"/>
      <c r="D543" s="3"/>
      <c r="E543" s="4"/>
      <c r="F543" s="5"/>
      <c r="G543" s="6"/>
      <c r="H543" s="7"/>
      <c r="P543" s="8"/>
      <c r="T543" s="9"/>
    </row>
    <row r="544">
      <c r="B544" s="1"/>
      <c r="C544" s="2"/>
      <c r="D544" s="3"/>
      <c r="E544" s="4"/>
      <c r="F544" s="5"/>
      <c r="G544" s="6"/>
      <c r="H544" s="7"/>
      <c r="P544" s="8"/>
      <c r="T544" s="9"/>
    </row>
    <row r="545">
      <c r="B545" s="1"/>
      <c r="C545" s="2"/>
      <c r="D545" s="3"/>
      <c r="E545" s="4"/>
      <c r="F545" s="5"/>
      <c r="G545" s="6"/>
      <c r="H545" s="7"/>
      <c r="P545" s="8"/>
      <c r="T545" s="9"/>
    </row>
    <row r="546">
      <c r="B546" s="1"/>
      <c r="C546" s="2"/>
      <c r="D546" s="3"/>
      <c r="E546" s="4"/>
      <c r="F546" s="5"/>
      <c r="G546" s="6"/>
      <c r="H546" s="7"/>
      <c r="P546" s="8"/>
      <c r="T546" s="9"/>
    </row>
    <row r="547">
      <c r="B547" s="1"/>
      <c r="C547" s="2"/>
      <c r="D547" s="3"/>
      <c r="E547" s="4"/>
      <c r="F547" s="5"/>
      <c r="G547" s="6"/>
      <c r="H547" s="7"/>
      <c r="P547" s="8"/>
      <c r="T547" s="9"/>
    </row>
    <row r="548">
      <c r="B548" s="1"/>
      <c r="C548" s="2"/>
      <c r="D548" s="3"/>
      <c r="E548" s="4"/>
      <c r="F548" s="5"/>
      <c r="G548" s="6"/>
      <c r="H548" s="7"/>
      <c r="P548" s="8"/>
      <c r="T548" s="9"/>
    </row>
    <row r="549">
      <c r="B549" s="1"/>
      <c r="C549" s="2"/>
      <c r="D549" s="3"/>
      <c r="E549" s="4"/>
      <c r="F549" s="5"/>
      <c r="G549" s="6"/>
      <c r="H549" s="7"/>
      <c r="P549" s="8"/>
      <c r="T549" s="9"/>
    </row>
    <row r="550">
      <c r="B550" s="1"/>
      <c r="C550" s="2"/>
      <c r="D550" s="3"/>
      <c r="E550" s="4"/>
      <c r="F550" s="5"/>
      <c r="G550" s="6"/>
      <c r="H550" s="7"/>
      <c r="P550" s="8"/>
      <c r="T550" s="9"/>
    </row>
    <row r="551">
      <c r="B551" s="1"/>
      <c r="C551" s="2"/>
      <c r="D551" s="3"/>
      <c r="E551" s="4"/>
      <c r="F551" s="5"/>
      <c r="G551" s="6"/>
      <c r="H551" s="7"/>
      <c r="P551" s="8"/>
      <c r="T551" s="9"/>
    </row>
    <row r="552">
      <c r="B552" s="1"/>
      <c r="C552" s="2"/>
      <c r="D552" s="3"/>
      <c r="E552" s="4"/>
      <c r="F552" s="5"/>
      <c r="G552" s="6"/>
      <c r="H552" s="7"/>
      <c r="P552" s="8"/>
      <c r="T552" s="9"/>
    </row>
    <row r="553">
      <c r="B553" s="1"/>
      <c r="C553" s="2"/>
      <c r="D553" s="3"/>
      <c r="E553" s="4"/>
      <c r="F553" s="5"/>
      <c r="G553" s="6"/>
      <c r="H553" s="7"/>
      <c r="P553" s="8"/>
      <c r="T553" s="9"/>
    </row>
    <row r="554">
      <c r="B554" s="1"/>
      <c r="C554" s="2"/>
      <c r="D554" s="3"/>
      <c r="E554" s="4"/>
      <c r="F554" s="5"/>
      <c r="G554" s="6"/>
      <c r="H554" s="7"/>
      <c r="P554" s="8"/>
      <c r="T554" s="9"/>
    </row>
    <row r="555">
      <c r="B555" s="1"/>
      <c r="C555" s="2"/>
      <c r="D555" s="3"/>
      <c r="E555" s="4"/>
      <c r="F555" s="5"/>
      <c r="G555" s="6"/>
      <c r="H555" s="7"/>
      <c r="P555" s="8"/>
      <c r="T555" s="9"/>
    </row>
    <row r="556">
      <c r="B556" s="1"/>
      <c r="C556" s="2"/>
      <c r="D556" s="3"/>
      <c r="E556" s="4"/>
      <c r="F556" s="5"/>
      <c r="G556" s="6"/>
      <c r="H556" s="7"/>
      <c r="P556" s="8"/>
      <c r="T556" s="9"/>
    </row>
    <row r="557">
      <c r="B557" s="1"/>
      <c r="C557" s="2"/>
      <c r="D557" s="3"/>
      <c r="E557" s="4"/>
      <c r="F557" s="5"/>
      <c r="G557" s="6"/>
      <c r="H557" s="7"/>
      <c r="P557" s="8"/>
      <c r="T557" s="9"/>
    </row>
    <row r="558">
      <c r="B558" s="1"/>
      <c r="C558" s="2"/>
      <c r="D558" s="3"/>
      <c r="E558" s="4"/>
      <c r="F558" s="5"/>
      <c r="G558" s="6"/>
      <c r="H558" s="7"/>
      <c r="P558" s="8"/>
      <c r="T558" s="9"/>
    </row>
    <row r="559">
      <c r="B559" s="1"/>
      <c r="C559" s="2"/>
      <c r="D559" s="3"/>
      <c r="E559" s="4"/>
      <c r="F559" s="5"/>
      <c r="G559" s="6"/>
      <c r="H559" s="7"/>
      <c r="P559" s="8"/>
      <c r="T559" s="9"/>
    </row>
    <row r="560">
      <c r="B560" s="1"/>
      <c r="C560" s="2"/>
      <c r="D560" s="3"/>
      <c r="E560" s="4"/>
      <c r="F560" s="5"/>
      <c r="G560" s="6"/>
      <c r="H560" s="7"/>
      <c r="P560" s="8"/>
      <c r="T560" s="9"/>
    </row>
    <row r="561">
      <c r="B561" s="1"/>
      <c r="C561" s="2"/>
      <c r="D561" s="3"/>
      <c r="E561" s="4"/>
      <c r="F561" s="5"/>
      <c r="G561" s="6"/>
      <c r="H561" s="7"/>
      <c r="P561" s="8"/>
      <c r="T561" s="9"/>
    </row>
    <row r="562">
      <c r="B562" s="1"/>
      <c r="C562" s="2"/>
      <c r="D562" s="3"/>
      <c r="E562" s="4"/>
      <c r="F562" s="5"/>
      <c r="G562" s="6"/>
      <c r="H562" s="7"/>
      <c r="P562" s="8"/>
      <c r="T562" s="9"/>
    </row>
    <row r="563">
      <c r="B563" s="1"/>
      <c r="C563" s="2"/>
      <c r="D563" s="3"/>
      <c r="E563" s="4"/>
      <c r="F563" s="5"/>
      <c r="G563" s="6"/>
      <c r="H563" s="7"/>
      <c r="P563" s="8"/>
      <c r="T563" s="9"/>
    </row>
    <row r="564">
      <c r="B564" s="1"/>
      <c r="C564" s="2"/>
      <c r="D564" s="3"/>
      <c r="E564" s="4"/>
      <c r="F564" s="5"/>
      <c r="G564" s="6"/>
      <c r="H564" s="7"/>
      <c r="P564" s="8"/>
      <c r="T564" s="9"/>
    </row>
    <row r="565">
      <c r="B565" s="1"/>
      <c r="C565" s="2"/>
      <c r="D565" s="3"/>
      <c r="E565" s="4"/>
      <c r="F565" s="5"/>
      <c r="G565" s="6"/>
      <c r="H565" s="7"/>
      <c r="P565" s="8"/>
      <c r="T565" s="9"/>
    </row>
    <row r="566">
      <c r="B566" s="1"/>
      <c r="C566" s="2"/>
      <c r="D566" s="3"/>
      <c r="E566" s="4"/>
      <c r="F566" s="5"/>
      <c r="G566" s="6"/>
      <c r="H566" s="7"/>
      <c r="P566" s="8"/>
      <c r="T566" s="9"/>
    </row>
    <row r="567">
      <c r="B567" s="1"/>
      <c r="C567" s="2"/>
      <c r="D567" s="3"/>
      <c r="E567" s="4"/>
      <c r="F567" s="5"/>
      <c r="G567" s="6"/>
      <c r="H567" s="7"/>
      <c r="P567" s="8"/>
      <c r="T567" s="9"/>
    </row>
    <row r="568">
      <c r="B568" s="1"/>
      <c r="C568" s="2"/>
      <c r="D568" s="3"/>
      <c r="E568" s="4"/>
      <c r="F568" s="5"/>
      <c r="G568" s="6"/>
      <c r="H568" s="7"/>
      <c r="P568" s="8"/>
      <c r="T568" s="9"/>
    </row>
    <row r="569">
      <c r="B569" s="1"/>
      <c r="C569" s="2"/>
      <c r="D569" s="3"/>
      <c r="E569" s="4"/>
      <c r="F569" s="5"/>
      <c r="G569" s="6"/>
      <c r="H569" s="7"/>
      <c r="P569" s="8"/>
      <c r="T569" s="9"/>
    </row>
    <row r="570">
      <c r="B570" s="1"/>
      <c r="C570" s="2"/>
      <c r="D570" s="3"/>
      <c r="E570" s="4"/>
      <c r="F570" s="5"/>
      <c r="G570" s="6"/>
      <c r="H570" s="7"/>
      <c r="P570" s="8"/>
      <c r="T570" s="9"/>
    </row>
    <row r="571">
      <c r="B571" s="1"/>
      <c r="C571" s="2"/>
      <c r="D571" s="3"/>
      <c r="E571" s="4"/>
      <c r="F571" s="5"/>
      <c r="G571" s="6"/>
      <c r="H571" s="7"/>
      <c r="P571" s="8"/>
      <c r="T571" s="9"/>
    </row>
    <row r="572">
      <c r="B572" s="1"/>
      <c r="C572" s="2"/>
      <c r="D572" s="3"/>
      <c r="E572" s="4"/>
      <c r="F572" s="5"/>
      <c r="G572" s="6"/>
      <c r="H572" s="7"/>
      <c r="P572" s="8"/>
      <c r="T572" s="9"/>
    </row>
    <row r="573">
      <c r="B573" s="1"/>
      <c r="C573" s="2"/>
      <c r="D573" s="3"/>
      <c r="E573" s="4"/>
      <c r="F573" s="5"/>
      <c r="G573" s="6"/>
      <c r="H573" s="7"/>
      <c r="P573" s="8"/>
      <c r="T573" s="9"/>
    </row>
    <row r="574">
      <c r="B574" s="1"/>
      <c r="C574" s="2"/>
      <c r="D574" s="3"/>
      <c r="E574" s="4"/>
      <c r="F574" s="5"/>
      <c r="G574" s="6"/>
      <c r="H574" s="7"/>
      <c r="P574" s="8"/>
      <c r="T574" s="9"/>
    </row>
    <row r="575">
      <c r="B575" s="1"/>
      <c r="C575" s="2"/>
      <c r="D575" s="3"/>
      <c r="E575" s="4"/>
      <c r="F575" s="5"/>
      <c r="G575" s="6"/>
      <c r="H575" s="7"/>
      <c r="P575" s="8"/>
      <c r="T575" s="9"/>
    </row>
    <row r="576">
      <c r="B576" s="1"/>
      <c r="C576" s="2"/>
      <c r="D576" s="3"/>
      <c r="E576" s="4"/>
      <c r="F576" s="5"/>
      <c r="G576" s="6"/>
      <c r="H576" s="7"/>
      <c r="P576" s="8"/>
      <c r="T576" s="9"/>
    </row>
    <row r="577">
      <c r="B577" s="1"/>
      <c r="C577" s="2"/>
      <c r="D577" s="3"/>
      <c r="E577" s="4"/>
      <c r="F577" s="5"/>
      <c r="G577" s="6"/>
      <c r="H577" s="7"/>
      <c r="P577" s="8"/>
      <c r="T577" s="9"/>
    </row>
    <row r="578">
      <c r="B578" s="1"/>
      <c r="C578" s="2"/>
      <c r="D578" s="3"/>
      <c r="E578" s="4"/>
      <c r="F578" s="5"/>
      <c r="G578" s="6"/>
      <c r="H578" s="7"/>
      <c r="P578" s="8"/>
      <c r="T578" s="9"/>
    </row>
    <row r="579">
      <c r="B579" s="1"/>
      <c r="C579" s="2"/>
      <c r="D579" s="3"/>
      <c r="E579" s="4"/>
      <c r="F579" s="5"/>
      <c r="G579" s="6"/>
      <c r="H579" s="7"/>
      <c r="P579" s="8"/>
      <c r="T579" s="9"/>
    </row>
    <row r="580">
      <c r="B580" s="1"/>
      <c r="C580" s="2"/>
      <c r="D580" s="3"/>
      <c r="E580" s="4"/>
      <c r="F580" s="5"/>
      <c r="G580" s="6"/>
      <c r="H580" s="7"/>
      <c r="P580" s="8"/>
      <c r="T580" s="9"/>
    </row>
    <row r="581">
      <c r="B581" s="1"/>
      <c r="C581" s="2"/>
      <c r="D581" s="3"/>
      <c r="E581" s="4"/>
      <c r="F581" s="5"/>
      <c r="G581" s="6"/>
      <c r="H581" s="7"/>
      <c r="P581" s="8"/>
      <c r="T581" s="9"/>
    </row>
    <row r="582">
      <c r="B582" s="1"/>
      <c r="C582" s="2"/>
      <c r="D582" s="3"/>
      <c r="E582" s="4"/>
      <c r="F582" s="5"/>
      <c r="G582" s="6"/>
      <c r="H582" s="7"/>
      <c r="P582" s="8"/>
      <c r="T582" s="9"/>
    </row>
    <row r="583">
      <c r="B583" s="1"/>
      <c r="C583" s="2"/>
      <c r="D583" s="3"/>
      <c r="E583" s="4"/>
      <c r="F583" s="5"/>
      <c r="G583" s="6"/>
      <c r="H583" s="7"/>
      <c r="P583" s="8"/>
      <c r="T583" s="9"/>
    </row>
    <row r="584">
      <c r="B584" s="1"/>
      <c r="C584" s="2"/>
      <c r="D584" s="3"/>
      <c r="E584" s="4"/>
      <c r="F584" s="5"/>
      <c r="G584" s="6"/>
      <c r="H584" s="7"/>
      <c r="P584" s="8"/>
      <c r="T584" s="9"/>
    </row>
    <row r="585">
      <c r="B585" s="1"/>
      <c r="C585" s="2"/>
      <c r="D585" s="3"/>
      <c r="E585" s="4"/>
      <c r="F585" s="5"/>
      <c r="G585" s="6"/>
      <c r="H585" s="7"/>
      <c r="P585" s="8"/>
      <c r="T585" s="9"/>
    </row>
    <row r="586">
      <c r="B586" s="1"/>
      <c r="C586" s="2"/>
      <c r="D586" s="3"/>
      <c r="E586" s="4"/>
      <c r="F586" s="5"/>
      <c r="G586" s="6"/>
      <c r="H586" s="7"/>
      <c r="P586" s="8"/>
      <c r="T586" s="9"/>
    </row>
    <row r="587">
      <c r="B587" s="1"/>
      <c r="C587" s="2"/>
      <c r="D587" s="3"/>
      <c r="E587" s="4"/>
      <c r="F587" s="5"/>
      <c r="G587" s="6"/>
      <c r="H587" s="7"/>
      <c r="P587" s="8"/>
      <c r="T587" s="9"/>
    </row>
    <row r="588">
      <c r="B588" s="1"/>
      <c r="C588" s="2"/>
      <c r="D588" s="3"/>
      <c r="E588" s="4"/>
      <c r="F588" s="5"/>
      <c r="G588" s="6"/>
      <c r="H588" s="7"/>
      <c r="P588" s="8"/>
      <c r="T588" s="9"/>
    </row>
    <row r="589">
      <c r="B589" s="1"/>
      <c r="C589" s="2"/>
      <c r="D589" s="3"/>
      <c r="E589" s="4"/>
      <c r="F589" s="5"/>
      <c r="G589" s="6"/>
      <c r="H589" s="7"/>
      <c r="P589" s="8"/>
      <c r="T589" s="9"/>
    </row>
    <row r="590">
      <c r="B590" s="1"/>
      <c r="C590" s="2"/>
      <c r="D590" s="3"/>
      <c r="E590" s="4"/>
      <c r="F590" s="5"/>
      <c r="G590" s="6"/>
      <c r="H590" s="7"/>
      <c r="P590" s="8"/>
      <c r="T590" s="9"/>
    </row>
    <row r="591">
      <c r="B591" s="1"/>
      <c r="C591" s="2"/>
      <c r="D591" s="3"/>
      <c r="E591" s="4"/>
      <c r="F591" s="5"/>
      <c r="G591" s="6"/>
      <c r="H591" s="7"/>
      <c r="P591" s="8"/>
      <c r="T591" s="9"/>
    </row>
    <row r="592">
      <c r="B592" s="1"/>
      <c r="C592" s="2"/>
      <c r="D592" s="3"/>
      <c r="E592" s="4"/>
      <c r="F592" s="5"/>
      <c r="G592" s="6"/>
      <c r="H592" s="7"/>
      <c r="P592" s="8"/>
      <c r="T592" s="9"/>
    </row>
    <row r="593">
      <c r="B593" s="1"/>
      <c r="C593" s="2"/>
      <c r="D593" s="3"/>
      <c r="E593" s="4"/>
      <c r="F593" s="5"/>
      <c r="G593" s="6"/>
      <c r="H593" s="7"/>
      <c r="P593" s="8"/>
      <c r="T593" s="9"/>
    </row>
    <row r="594">
      <c r="B594" s="1"/>
      <c r="C594" s="2"/>
      <c r="D594" s="3"/>
      <c r="E594" s="4"/>
      <c r="F594" s="5"/>
      <c r="G594" s="6"/>
      <c r="H594" s="7"/>
      <c r="P594" s="8"/>
      <c r="T594" s="9"/>
    </row>
    <row r="595">
      <c r="B595" s="1"/>
      <c r="C595" s="2"/>
      <c r="D595" s="3"/>
      <c r="E595" s="4"/>
      <c r="F595" s="5"/>
      <c r="G595" s="6"/>
      <c r="H595" s="7"/>
      <c r="P595" s="8"/>
      <c r="T595" s="9"/>
    </row>
    <row r="596">
      <c r="B596" s="1"/>
      <c r="C596" s="2"/>
      <c r="D596" s="3"/>
      <c r="E596" s="4"/>
      <c r="F596" s="5"/>
      <c r="G596" s="6"/>
      <c r="H596" s="7"/>
      <c r="P596" s="8"/>
      <c r="T596" s="9"/>
    </row>
    <row r="597">
      <c r="B597" s="1"/>
      <c r="C597" s="2"/>
      <c r="D597" s="3"/>
      <c r="E597" s="4"/>
      <c r="F597" s="5"/>
      <c r="G597" s="6"/>
      <c r="H597" s="7"/>
      <c r="P597" s="8"/>
      <c r="T597" s="9"/>
    </row>
    <row r="598">
      <c r="B598" s="1"/>
      <c r="C598" s="2"/>
      <c r="D598" s="3"/>
      <c r="E598" s="4"/>
      <c r="F598" s="5"/>
      <c r="G598" s="6"/>
      <c r="H598" s="7"/>
      <c r="P598" s="8"/>
      <c r="T598" s="9"/>
    </row>
    <row r="599">
      <c r="B599" s="1"/>
      <c r="C599" s="2"/>
      <c r="D599" s="3"/>
      <c r="E599" s="4"/>
      <c r="F599" s="5"/>
      <c r="G599" s="6"/>
      <c r="H599" s="7"/>
      <c r="P599" s="8"/>
      <c r="T599" s="9"/>
    </row>
    <row r="600">
      <c r="B600" s="1"/>
      <c r="C600" s="2"/>
      <c r="D600" s="3"/>
      <c r="E600" s="4"/>
      <c r="F600" s="5"/>
      <c r="G600" s="6"/>
      <c r="H600" s="7"/>
      <c r="P600" s="8"/>
      <c r="T600" s="9"/>
    </row>
    <row r="601">
      <c r="B601" s="1"/>
      <c r="C601" s="2"/>
      <c r="D601" s="3"/>
      <c r="E601" s="4"/>
      <c r="F601" s="5"/>
      <c r="G601" s="6"/>
      <c r="H601" s="7"/>
      <c r="P601" s="8"/>
      <c r="T601" s="9"/>
    </row>
    <row r="602">
      <c r="B602" s="1"/>
      <c r="C602" s="2"/>
      <c r="D602" s="3"/>
      <c r="E602" s="4"/>
      <c r="F602" s="5"/>
      <c r="G602" s="6"/>
      <c r="H602" s="7"/>
      <c r="P602" s="8"/>
      <c r="T602" s="9"/>
    </row>
    <row r="603">
      <c r="B603" s="1"/>
      <c r="C603" s="2"/>
      <c r="D603" s="3"/>
      <c r="E603" s="4"/>
      <c r="F603" s="5"/>
      <c r="G603" s="6"/>
      <c r="H603" s="7"/>
      <c r="P603" s="8"/>
      <c r="T603" s="9"/>
    </row>
    <row r="604">
      <c r="B604" s="1"/>
      <c r="C604" s="2"/>
      <c r="D604" s="3"/>
      <c r="E604" s="4"/>
      <c r="F604" s="5"/>
      <c r="G604" s="6"/>
      <c r="H604" s="7"/>
      <c r="P604" s="8"/>
      <c r="T604" s="9"/>
    </row>
    <row r="605">
      <c r="B605" s="1"/>
      <c r="C605" s="2"/>
      <c r="D605" s="3"/>
      <c r="E605" s="4"/>
      <c r="F605" s="5"/>
      <c r="G605" s="6"/>
      <c r="H605" s="7"/>
      <c r="P605" s="8"/>
      <c r="T605" s="9"/>
    </row>
    <row r="606">
      <c r="B606" s="1"/>
      <c r="C606" s="2"/>
      <c r="D606" s="3"/>
      <c r="E606" s="4"/>
      <c r="F606" s="5"/>
      <c r="G606" s="6"/>
      <c r="H606" s="7"/>
      <c r="P606" s="8"/>
      <c r="T606" s="9"/>
    </row>
    <row r="607">
      <c r="B607" s="1"/>
      <c r="C607" s="2"/>
      <c r="D607" s="3"/>
      <c r="E607" s="4"/>
      <c r="F607" s="5"/>
      <c r="G607" s="6"/>
      <c r="H607" s="7"/>
      <c r="P607" s="8"/>
      <c r="T607" s="9"/>
    </row>
    <row r="608">
      <c r="B608" s="1"/>
      <c r="C608" s="2"/>
      <c r="D608" s="3"/>
      <c r="E608" s="4"/>
      <c r="F608" s="5"/>
      <c r="G608" s="6"/>
      <c r="H608" s="7"/>
      <c r="P608" s="8"/>
      <c r="T608" s="9"/>
    </row>
    <row r="609">
      <c r="B609" s="1"/>
      <c r="C609" s="2"/>
      <c r="D609" s="3"/>
      <c r="E609" s="4"/>
      <c r="F609" s="5"/>
      <c r="G609" s="6"/>
      <c r="H609" s="7"/>
      <c r="P609" s="8"/>
      <c r="T609" s="9"/>
    </row>
    <row r="610">
      <c r="B610" s="1"/>
      <c r="C610" s="2"/>
      <c r="D610" s="3"/>
      <c r="E610" s="4"/>
      <c r="F610" s="5"/>
      <c r="G610" s="6"/>
      <c r="H610" s="7"/>
      <c r="P610" s="8"/>
      <c r="T610" s="9"/>
    </row>
    <row r="611">
      <c r="B611" s="1"/>
      <c r="C611" s="2"/>
      <c r="D611" s="3"/>
      <c r="E611" s="4"/>
      <c r="F611" s="5"/>
      <c r="G611" s="6"/>
      <c r="H611" s="7"/>
      <c r="P611" s="8"/>
      <c r="T611" s="9"/>
    </row>
    <row r="612">
      <c r="B612" s="1"/>
      <c r="C612" s="2"/>
      <c r="D612" s="3"/>
      <c r="E612" s="4"/>
      <c r="F612" s="5"/>
      <c r="G612" s="6"/>
      <c r="H612" s="7"/>
      <c r="P612" s="8"/>
      <c r="T612" s="9"/>
    </row>
    <row r="613">
      <c r="B613" s="1"/>
      <c r="C613" s="2"/>
      <c r="D613" s="3"/>
      <c r="E613" s="4"/>
      <c r="F613" s="5"/>
      <c r="G613" s="6"/>
      <c r="H613" s="7"/>
      <c r="P613" s="8"/>
      <c r="T613" s="9"/>
    </row>
    <row r="614">
      <c r="B614" s="1"/>
      <c r="C614" s="2"/>
      <c r="D614" s="3"/>
      <c r="E614" s="4"/>
      <c r="F614" s="5"/>
      <c r="G614" s="6"/>
      <c r="H614" s="7"/>
      <c r="P614" s="8"/>
      <c r="T614" s="9"/>
    </row>
    <row r="615">
      <c r="B615" s="1"/>
      <c r="C615" s="2"/>
      <c r="D615" s="3"/>
      <c r="E615" s="4"/>
      <c r="F615" s="5"/>
      <c r="G615" s="6"/>
      <c r="H615" s="7"/>
      <c r="P615" s="8"/>
      <c r="T615" s="9"/>
    </row>
    <row r="616">
      <c r="B616" s="1"/>
      <c r="C616" s="2"/>
      <c r="D616" s="3"/>
      <c r="E616" s="4"/>
      <c r="F616" s="5"/>
      <c r="G616" s="6"/>
      <c r="H616" s="7"/>
      <c r="P616" s="8"/>
      <c r="T616" s="9"/>
    </row>
    <row r="617">
      <c r="B617" s="1"/>
      <c r="C617" s="2"/>
      <c r="D617" s="3"/>
      <c r="E617" s="4"/>
      <c r="F617" s="5"/>
      <c r="G617" s="6"/>
      <c r="H617" s="7"/>
      <c r="P617" s="8"/>
      <c r="T617" s="9"/>
    </row>
    <row r="618">
      <c r="B618" s="1"/>
      <c r="C618" s="2"/>
      <c r="D618" s="3"/>
      <c r="E618" s="4"/>
      <c r="F618" s="5"/>
      <c r="G618" s="6"/>
      <c r="H618" s="7"/>
      <c r="P618" s="8"/>
      <c r="T618" s="9"/>
    </row>
    <row r="619">
      <c r="B619" s="1"/>
      <c r="C619" s="2"/>
      <c r="D619" s="3"/>
      <c r="E619" s="4"/>
      <c r="F619" s="5"/>
      <c r="G619" s="6"/>
      <c r="H619" s="7"/>
      <c r="P619" s="8"/>
      <c r="T619" s="9"/>
    </row>
    <row r="620">
      <c r="B620" s="1"/>
      <c r="C620" s="2"/>
      <c r="D620" s="3"/>
      <c r="E620" s="4"/>
      <c r="F620" s="5"/>
      <c r="G620" s="6"/>
      <c r="H620" s="7"/>
      <c r="P620" s="8"/>
      <c r="T620" s="9"/>
    </row>
    <row r="621">
      <c r="B621" s="1"/>
      <c r="C621" s="2"/>
      <c r="D621" s="3"/>
      <c r="E621" s="4"/>
      <c r="F621" s="5"/>
      <c r="G621" s="6"/>
      <c r="H621" s="7"/>
      <c r="P621" s="8"/>
      <c r="T621" s="9"/>
    </row>
    <row r="622">
      <c r="B622" s="1"/>
      <c r="C622" s="2"/>
      <c r="D622" s="3"/>
      <c r="E622" s="4"/>
      <c r="F622" s="5"/>
      <c r="G622" s="6"/>
      <c r="H622" s="7"/>
      <c r="P622" s="8"/>
      <c r="T622" s="9"/>
    </row>
    <row r="623">
      <c r="B623" s="1"/>
      <c r="C623" s="2"/>
      <c r="D623" s="3"/>
      <c r="E623" s="4"/>
      <c r="F623" s="5"/>
      <c r="G623" s="6"/>
      <c r="H623" s="7"/>
      <c r="P623" s="8"/>
      <c r="T623" s="9"/>
    </row>
    <row r="624">
      <c r="B624" s="1"/>
      <c r="C624" s="2"/>
      <c r="D624" s="3"/>
      <c r="E624" s="4"/>
      <c r="F624" s="5"/>
      <c r="G624" s="6"/>
      <c r="H624" s="7"/>
      <c r="P624" s="8"/>
      <c r="T624" s="9"/>
    </row>
    <row r="625">
      <c r="B625" s="1"/>
      <c r="C625" s="2"/>
      <c r="D625" s="3"/>
      <c r="E625" s="4"/>
      <c r="F625" s="5"/>
      <c r="G625" s="6"/>
      <c r="H625" s="7"/>
      <c r="P625" s="8"/>
      <c r="T625" s="9"/>
    </row>
    <row r="626">
      <c r="B626" s="1"/>
      <c r="C626" s="2"/>
      <c r="D626" s="3"/>
      <c r="E626" s="4"/>
      <c r="F626" s="5"/>
      <c r="G626" s="6"/>
      <c r="H626" s="7"/>
      <c r="P626" s="8"/>
      <c r="T626" s="9"/>
    </row>
    <row r="627">
      <c r="B627" s="1"/>
      <c r="C627" s="2"/>
      <c r="D627" s="3"/>
      <c r="E627" s="4"/>
      <c r="F627" s="5"/>
      <c r="G627" s="6"/>
      <c r="H627" s="7"/>
      <c r="P627" s="8"/>
      <c r="T627" s="9"/>
    </row>
    <row r="628">
      <c r="B628" s="1"/>
      <c r="C628" s="2"/>
      <c r="D628" s="3"/>
      <c r="E628" s="4"/>
      <c r="F628" s="5"/>
      <c r="G628" s="6"/>
      <c r="H628" s="7"/>
      <c r="P628" s="8"/>
      <c r="T628" s="9"/>
    </row>
    <row r="629">
      <c r="B629" s="1"/>
      <c r="C629" s="2"/>
      <c r="D629" s="3"/>
      <c r="E629" s="4"/>
      <c r="F629" s="5"/>
      <c r="G629" s="6"/>
      <c r="H629" s="7"/>
      <c r="P629" s="8"/>
      <c r="T629" s="9"/>
    </row>
    <row r="630">
      <c r="B630" s="1"/>
      <c r="C630" s="2"/>
      <c r="D630" s="3"/>
      <c r="E630" s="4"/>
      <c r="F630" s="5"/>
      <c r="G630" s="6"/>
      <c r="H630" s="7"/>
      <c r="P630" s="8"/>
      <c r="T630" s="9"/>
    </row>
    <row r="631">
      <c r="B631" s="1"/>
      <c r="C631" s="2"/>
      <c r="D631" s="3"/>
      <c r="E631" s="4"/>
      <c r="F631" s="5"/>
      <c r="G631" s="6"/>
      <c r="H631" s="7"/>
      <c r="P631" s="8"/>
      <c r="T631" s="9"/>
    </row>
    <row r="632">
      <c r="B632" s="1"/>
      <c r="C632" s="2"/>
      <c r="D632" s="3"/>
      <c r="E632" s="4"/>
      <c r="F632" s="5"/>
      <c r="G632" s="6"/>
      <c r="H632" s="7"/>
      <c r="P632" s="8"/>
      <c r="T632" s="9"/>
    </row>
    <row r="633">
      <c r="B633" s="1"/>
      <c r="C633" s="2"/>
      <c r="D633" s="3"/>
      <c r="E633" s="4"/>
      <c r="F633" s="5"/>
      <c r="G633" s="6"/>
      <c r="H633" s="7"/>
      <c r="P633" s="8"/>
      <c r="T633" s="9"/>
    </row>
    <row r="634">
      <c r="B634" s="1"/>
      <c r="C634" s="2"/>
      <c r="D634" s="3"/>
      <c r="E634" s="4"/>
      <c r="F634" s="5"/>
      <c r="G634" s="6"/>
      <c r="H634" s="7"/>
      <c r="P634" s="8"/>
      <c r="T634" s="9"/>
    </row>
    <row r="635">
      <c r="B635" s="1"/>
      <c r="C635" s="2"/>
      <c r="D635" s="3"/>
      <c r="E635" s="4"/>
      <c r="F635" s="5"/>
      <c r="G635" s="6"/>
      <c r="H635" s="7"/>
      <c r="P635" s="8"/>
      <c r="T635" s="9"/>
    </row>
    <row r="636">
      <c r="B636" s="1"/>
      <c r="C636" s="2"/>
      <c r="D636" s="3"/>
      <c r="E636" s="4"/>
      <c r="F636" s="5"/>
      <c r="G636" s="6"/>
      <c r="H636" s="7"/>
      <c r="P636" s="8"/>
      <c r="T636" s="9"/>
    </row>
    <row r="637">
      <c r="B637" s="1"/>
      <c r="C637" s="2"/>
      <c r="D637" s="3"/>
      <c r="E637" s="4"/>
      <c r="F637" s="5"/>
      <c r="G637" s="6"/>
      <c r="H637" s="7"/>
      <c r="P637" s="8"/>
      <c r="T637" s="9"/>
    </row>
    <row r="638">
      <c r="B638" s="1"/>
      <c r="C638" s="2"/>
      <c r="D638" s="3"/>
      <c r="E638" s="4"/>
      <c r="F638" s="5"/>
      <c r="G638" s="6"/>
      <c r="H638" s="7"/>
      <c r="P638" s="8"/>
      <c r="T638" s="9"/>
    </row>
    <row r="639">
      <c r="B639" s="1"/>
      <c r="C639" s="2"/>
      <c r="D639" s="3"/>
      <c r="E639" s="4"/>
      <c r="F639" s="5"/>
      <c r="G639" s="6"/>
      <c r="H639" s="7"/>
      <c r="P639" s="8"/>
      <c r="T639" s="9"/>
    </row>
    <row r="640">
      <c r="B640" s="1"/>
      <c r="C640" s="2"/>
      <c r="D640" s="3"/>
      <c r="E640" s="4"/>
      <c r="F640" s="5"/>
      <c r="G640" s="6"/>
      <c r="H640" s="7"/>
      <c r="P640" s="8"/>
      <c r="T640" s="9"/>
    </row>
    <row r="641">
      <c r="B641" s="1"/>
      <c r="C641" s="2"/>
      <c r="D641" s="3"/>
      <c r="E641" s="4"/>
      <c r="F641" s="5"/>
      <c r="G641" s="6"/>
      <c r="H641" s="7"/>
      <c r="P641" s="8"/>
      <c r="T641" s="9"/>
    </row>
    <row r="642">
      <c r="B642" s="1"/>
      <c r="C642" s="2"/>
      <c r="D642" s="3"/>
      <c r="E642" s="4"/>
      <c r="F642" s="5"/>
      <c r="G642" s="6"/>
      <c r="H642" s="7"/>
      <c r="P642" s="8"/>
      <c r="T642" s="9"/>
    </row>
    <row r="643">
      <c r="B643" s="1"/>
      <c r="C643" s="2"/>
      <c r="D643" s="3"/>
      <c r="E643" s="4"/>
      <c r="F643" s="5"/>
      <c r="G643" s="6"/>
      <c r="H643" s="7"/>
      <c r="P643" s="8"/>
      <c r="T643" s="9"/>
    </row>
    <row r="644">
      <c r="B644" s="1"/>
      <c r="C644" s="2"/>
      <c r="D644" s="3"/>
      <c r="E644" s="4"/>
      <c r="F644" s="5"/>
      <c r="G644" s="6"/>
      <c r="H644" s="7"/>
      <c r="P644" s="8"/>
      <c r="T644" s="9"/>
    </row>
    <row r="645">
      <c r="B645" s="1"/>
      <c r="C645" s="2"/>
      <c r="D645" s="3"/>
      <c r="E645" s="4"/>
      <c r="F645" s="5"/>
      <c r="G645" s="6"/>
      <c r="H645" s="7"/>
      <c r="P645" s="8"/>
      <c r="T645" s="9"/>
    </row>
    <row r="646">
      <c r="B646" s="1"/>
      <c r="C646" s="2"/>
      <c r="D646" s="3"/>
      <c r="E646" s="4"/>
      <c r="F646" s="5"/>
      <c r="G646" s="6"/>
      <c r="H646" s="7"/>
      <c r="P646" s="8"/>
      <c r="T646" s="9"/>
    </row>
    <row r="647">
      <c r="B647" s="1"/>
      <c r="C647" s="2"/>
      <c r="D647" s="3"/>
      <c r="E647" s="4"/>
      <c r="F647" s="5"/>
      <c r="G647" s="6"/>
      <c r="H647" s="7"/>
      <c r="P647" s="8"/>
      <c r="T647" s="9"/>
    </row>
    <row r="648">
      <c r="B648" s="1"/>
      <c r="C648" s="2"/>
      <c r="D648" s="3"/>
      <c r="E648" s="4"/>
      <c r="F648" s="5"/>
      <c r="G648" s="6"/>
      <c r="H648" s="7"/>
      <c r="P648" s="8"/>
      <c r="T648" s="9"/>
    </row>
    <row r="649">
      <c r="B649" s="1"/>
      <c r="C649" s="2"/>
      <c r="D649" s="3"/>
      <c r="E649" s="4"/>
      <c r="F649" s="5"/>
      <c r="G649" s="6"/>
      <c r="H649" s="7"/>
      <c r="P649" s="8"/>
      <c r="T649" s="9"/>
    </row>
    <row r="650">
      <c r="B650" s="1"/>
      <c r="C650" s="2"/>
      <c r="D650" s="3"/>
      <c r="E650" s="4"/>
      <c r="F650" s="5"/>
      <c r="G650" s="6"/>
      <c r="H650" s="7"/>
      <c r="P650" s="8"/>
      <c r="T650" s="9"/>
    </row>
    <row r="651">
      <c r="B651" s="1"/>
      <c r="C651" s="2"/>
      <c r="D651" s="3"/>
      <c r="E651" s="4"/>
      <c r="F651" s="5"/>
      <c r="G651" s="6"/>
      <c r="H651" s="7"/>
      <c r="P651" s="8"/>
      <c r="T651" s="9"/>
    </row>
    <row r="652">
      <c r="B652" s="1"/>
      <c r="C652" s="2"/>
      <c r="D652" s="3"/>
      <c r="E652" s="4"/>
      <c r="F652" s="5"/>
      <c r="G652" s="6"/>
      <c r="H652" s="7"/>
      <c r="P652" s="8"/>
      <c r="T652" s="9"/>
    </row>
    <row r="653">
      <c r="B653" s="1"/>
      <c r="C653" s="2"/>
      <c r="D653" s="3"/>
      <c r="E653" s="4"/>
      <c r="F653" s="5"/>
      <c r="G653" s="6"/>
      <c r="H653" s="7"/>
      <c r="P653" s="8"/>
      <c r="T653" s="9"/>
    </row>
    <row r="654">
      <c r="B654" s="1"/>
      <c r="C654" s="2"/>
      <c r="D654" s="3"/>
      <c r="E654" s="4"/>
      <c r="F654" s="5"/>
      <c r="G654" s="6"/>
      <c r="H654" s="7"/>
      <c r="P654" s="8"/>
      <c r="T654" s="9"/>
    </row>
    <row r="655">
      <c r="B655" s="1"/>
      <c r="C655" s="2"/>
      <c r="D655" s="3"/>
      <c r="E655" s="4"/>
      <c r="F655" s="5"/>
      <c r="G655" s="6"/>
      <c r="H655" s="7"/>
      <c r="P655" s="8"/>
      <c r="T655" s="9"/>
    </row>
    <row r="656">
      <c r="B656" s="1"/>
      <c r="C656" s="2"/>
      <c r="D656" s="3"/>
      <c r="E656" s="4"/>
      <c r="F656" s="5"/>
      <c r="G656" s="6"/>
      <c r="H656" s="7"/>
      <c r="P656" s="8"/>
      <c r="T656" s="9"/>
    </row>
    <row r="657">
      <c r="B657" s="1"/>
      <c r="C657" s="2"/>
      <c r="D657" s="3"/>
      <c r="E657" s="4"/>
      <c r="F657" s="5"/>
      <c r="G657" s="6"/>
      <c r="H657" s="7"/>
      <c r="P657" s="8"/>
      <c r="T657" s="9"/>
    </row>
    <row r="658">
      <c r="B658" s="1"/>
      <c r="C658" s="2"/>
      <c r="D658" s="3"/>
      <c r="E658" s="4"/>
      <c r="F658" s="5"/>
      <c r="G658" s="6"/>
      <c r="H658" s="7"/>
      <c r="P658" s="8"/>
      <c r="T658" s="9"/>
    </row>
    <row r="659">
      <c r="B659" s="1"/>
      <c r="C659" s="2"/>
      <c r="D659" s="3"/>
      <c r="E659" s="4"/>
      <c r="F659" s="5"/>
      <c r="G659" s="6"/>
      <c r="H659" s="7"/>
      <c r="P659" s="8"/>
      <c r="T659" s="9"/>
    </row>
    <row r="660">
      <c r="B660" s="1"/>
      <c r="C660" s="2"/>
      <c r="D660" s="3"/>
      <c r="E660" s="4"/>
      <c r="F660" s="5"/>
      <c r="G660" s="6"/>
      <c r="H660" s="7"/>
      <c r="P660" s="8"/>
      <c r="T660" s="9"/>
    </row>
    <row r="661">
      <c r="B661" s="1"/>
      <c r="C661" s="2"/>
      <c r="D661" s="3"/>
      <c r="E661" s="4"/>
      <c r="F661" s="5"/>
      <c r="G661" s="6"/>
      <c r="H661" s="7"/>
      <c r="P661" s="8"/>
      <c r="T661" s="9"/>
    </row>
    <row r="662">
      <c r="B662" s="1"/>
      <c r="C662" s="2"/>
      <c r="D662" s="3"/>
      <c r="E662" s="4"/>
      <c r="F662" s="5"/>
      <c r="G662" s="6"/>
      <c r="H662" s="7"/>
      <c r="P662" s="8"/>
      <c r="T662" s="9"/>
    </row>
    <row r="663">
      <c r="B663" s="1"/>
      <c r="C663" s="2"/>
      <c r="D663" s="3"/>
      <c r="E663" s="4"/>
      <c r="F663" s="5"/>
      <c r="G663" s="6"/>
      <c r="H663" s="7"/>
      <c r="P663" s="8"/>
      <c r="T663" s="9"/>
    </row>
    <row r="664">
      <c r="B664" s="1"/>
      <c r="C664" s="2"/>
      <c r="D664" s="3"/>
      <c r="E664" s="4"/>
      <c r="F664" s="5"/>
      <c r="G664" s="6"/>
      <c r="H664" s="7"/>
      <c r="P664" s="8"/>
      <c r="T664" s="9"/>
    </row>
    <row r="665">
      <c r="B665" s="1"/>
      <c r="C665" s="2"/>
      <c r="D665" s="3"/>
      <c r="E665" s="4"/>
      <c r="F665" s="5"/>
      <c r="G665" s="6"/>
      <c r="H665" s="7"/>
      <c r="P665" s="8"/>
      <c r="T665" s="9"/>
    </row>
    <row r="666">
      <c r="B666" s="1"/>
      <c r="C666" s="2"/>
      <c r="D666" s="3"/>
      <c r="E666" s="4"/>
      <c r="F666" s="5"/>
      <c r="G666" s="6"/>
      <c r="H666" s="7"/>
      <c r="P666" s="8"/>
      <c r="T666" s="9"/>
    </row>
    <row r="667">
      <c r="B667" s="1"/>
      <c r="C667" s="2"/>
      <c r="D667" s="3"/>
      <c r="E667" s="4"/>
      <c r="F667" s="5"/>
      <c r="G667" s="6"/>
      <c r="H667" s="7"/>
      <c r="P667" s="8"/>
      <c r="T667" s="9"/>
    </row>
    <row r="668">
      <c r="B668" s="1"/>
      <c r="C668" s="2"/>
      <c r="D668" s="3"/>
      <c r="E668" s="4"/>
      <c r="F668" s="5"/>
      <c r="G668" s="6"/>
      <c r="H668" s="7"/>
      <c r="P668" s="8"/>
      <c r="T668" s="9"/>
    </row>
    <row r="669">
      <c r="B669" s="1"/>
      <c r="C669" s="2"/>
      <c r="D669" s="3"/>
      <c r="E669" s="4"/>
      <c r="F669" s="5"/>
      <c r="G669" s="6"/>
      <c r="H669" s="7"/>
      <c r="P669" s="8"/>
      <c r="T669" s="9"/>
    </row>
    <row r="670">
      <c r="B670" s="1"/>
      <c r="C670" s="2"/>
      <c r="D670" s="3"/>
      <c r="E670" s="4"/>
      <c r="F670" s="5"/>
      <c r="G670" s="6"/>
      <c r="H670" s="7"/>
      <c r="P670" s="8"/>
      <c r="T670" s="9"/>
    </row>
    <row r="671">
      <c r="B671" s="1"/>
      <c r="C671" s="2"/>
      <c r="D671" s="3"/>
      <c r="E671" s="4"/>
      <c r="F671" s="5"/>
      <c r="G671" s="6"/>
      <c r="H671" s="7"/>
      <c r="P671" s="8"/>
      <c r="T671" s="9"/>
    </row>
    <row r="672">
      <c r="B672" s="1"/>
      <c r="C672" s="2"/>
      <c r="D672" s="3"/>
      <c r="E672" s="4"/>
      <c r="F672" s="5"/>
      <c r="G672" s="6"/>
      <c r="H672" s="7"/>
      <c r="P672" s="8"/>
      <c r="T672" s="9"/>
    </row>
    <row r="673">
      <c r="B673" s="1"/>
      <c r="C673" s="2"/>
      <c r="D673" s="3"/>
      <c r="E673" s="4"/>
      <c r="F673" s="5"/>
      <c r="G673" s="6"/>
      <c r="H673" s="7"/>
      <c r="P673" s="8"/>
      <c r="T673" s="9"/>
    </row>
    <row r="674">
      <c r="B674" s="1"/>
      <c r="C674" s="2"/>
      <c r="D674" s="3"/>
      <c r="E674" s="4"/>
      <c r="F674" s="5"/>
      <c r="G674" s="6"/>
      <c r="H674" s="7"/>
      <c r="P674" s="8"/>
      <c r="T674" s="9"/>
    </row>
    <row r="675">
      <c r="B675" s="1"/>
      <c r="C675" s="2"/>
      <c r="D675" s="3"/>
      <c r="E675" s="4"/>
      <c r="F675" s="5"/>
      <c r="G675" s="6"/>
      <c r="H675" s="7"/>
      <c r="P675" s="8"/>
      <c r="T675" s="9"/>
    </row>
    <row r="676">
      <c r="B676" s="1"/>
      <c r="C676" s="2"/>
      <c r="D676" s="3"/>
      <c r="E676" s="4"/>
      <c r="F676" s="5"/>
      <c r="G676" s="6"/>
      <c r="H676" s="7"/>
      <c r="P676" s="8"/>
      <c r="T676" s="9"/>
    </row>
    <row r="677">
      <c r="B677" s="1"/>
      <c r="C677" s="2"/>
      <c r="D677" s="3"/>
      <c r="E677" s="4"/>
      <c r="F677" s="5"/>
      <c r="G677" s="6"/>
      <c r="H677" s="7"/>
      <c r="P677" s="8"/>
      <c r="T677" s="9"/>
    </row>
    <row r="678">
      <c r="B678" s="1"/>
      <c r="C678" s="2"/>
      <c r="D678" s="3"/>
      <c r="E678" s="4"/>
      <c r="F678" s="5"/>
      <c r="G678" s="6"/>
      <c r="H678" s="7"/>
      <c r="P678" s="8"/>
      <c r="T678" s="9"/>
    </row>
    <row r="679">
      <c r="B679" s="1"/>
      <c r="C679" s="2"/>
      <c r="D679" s="3"/>
      <c r="E679" s="4"/>
      <c r="F679" s="5"/>
      <c r="G679" s="6"/>
      <c r="H679" s="7"/>
      <c r="P679" s="8"/>
      <c r="T679" s="9"/>
    </row>
    <row r="680">
      <c r="B680" s="1"/>
      <c r="C680" s="2"/>
      <c r="D680" s="3"/>
      <c r="E680" s="4"/>
      <c r="F680" s="5"/>
      <c r="G680" s="6"/>
      <c r="H680" s="7"/>
      <c r="P680" s="8"/>
      <c r="T680" s="9"/>
    </row>
    <row r="681">
      <c r="B681" s="1"/>
      <c r="C681" s="2"/>
      <c r="D681" s="3"/>
      <c r="E681" s="4"/>
      <c r="F681" s="5"/>
      <c r="G681" s="6"/>
      <c r="H681" s="7"/>
      <c r="P681" s="8"/>
      <c r="T681" s="9"/>
    </row>
    <row r="682">
      <c r="B682" s="1"/>
      <c r="C682" s="2"/>
      <c r="D682" s="3"/>
      <c r="E682" s="4"/>
      <c r="F682" s="5"/>
      <c r="G682" s="6"/>
      <c r="H682" s="7"/>
      <c r="P682" s="8"/>
      <c r="T682" s="9"/>
    </row>
    <row r="683">
      <c r="B683" s="1"/>
      <c r="C683" s="2"/>
      <c r="D683" s="3"/>
      <c r="E683" s="4"/>
      <c r="F683" s="5"/>
      <c r="G683" s="6"/>
      <c r="H683" s="7"/>
      <c r="P683" s="8"/>
      <c r="T683" s="9"/>
    </row>
    <row r="684">
      <c r="B684" s="1"/>
      <c r="C684" s="2"/>
      <c r="D684" s="3"/>
      <c r="E684" s="4"/>
      <c r="F684" s="5"/>
      <c r="G684" s="6"/>
      <c r="H684" s="7"/>
      <c r="P684" s="8"/>
      <c r="T684" s="9"/>
    </row>
    <row r="685">
      <c r="B685" s="1"/>
      <c r="C685" s="2"/>
      <c r="D685" s="3"/>
      <c r="E685" s="4"/>
      <c r="F685" s="5"/>
      <c r="G685" s="6"/>
      <c r="H685" s="7"/>
      <c r="P685" s="8"/>
      <c r="T685" s="9"/>
    </row>
    <row r="686">
      <c r="B686" s="1"/>
      <c r="C686" s="2"/>
      <c r="D686" s="3"/>
      <c r="E686" s="4"/>
      <c r="F686" s="5"/>
      <c r="G686" s="6"/>
      <c r="H686" s="7"/>
      <c r="P686" s="8"/>
      <c r="T686" s="9"/>
    </row>
    <row r="687">
      <c r="B687" s="1"/>
      <c r="C687" s="2"/>
      <c r="D687" s="3"/>
      <c r="E687" s="4"/>
      <c r="F687" s="5"/>
      <c r="G687" s="6"/>
      <c r="H687" s="7"/>
      <c r="P687" s="8"/>
      <c r="T687" s="9"/>
    </row>
    <row r="688">
      <c r="B688" s="1"/>
      <c r="C688" s="2"/>
      <c r="D688" s="3"/>
      <c r="E688" s="4"/>
      <c r="F688" s="5"/>
      <c r="G688" s="6"/>
      <c r="H688" s="7"/>
      <c r="P688" s="8"/>
      <c r="T688" s="9"/>
    </row>
    <row r="689">
      <c r="B689" s="1"/>
      <c r="C689" s="2"/>
      <c r="D689" s="3"/>
      <c r="E689" s="4"/>
      <c r="F689" s="5"/>
      <c r="G689" s="6"/>
      <c r="H689" s="7"/>
      <c r="P689" s="8"/>
      <c r="T689" s="9"/>
    </row>
    <row r="690">
      <c r="B690" s="1"/>
      <c r="C690" s="2"/>
      <c r="D690" s="3"/>
      <c r="E690" s="4"/>
      <c r="F690" s="5"/>
      <c r="G690" s="6"/>
      <c r="H690" s="7"/>
      <c r="P690" s="8"/>
      <c r="T690" s="9"/>
    </row>
    <row r="691">
      <c r="B691" s="1"/>
      <c r="C691" s="2"/>
      <c r="D691" s="3"/>
      <c r="E691" s="4"/>
      <c r="F691" s="5"/>
      <c r="G691" s="6"/>
      <c r="H691" s="7"/>
      <c r="P691" s="8"/>
      <c r="T691" s="9"/>
    </row>
    <row r="692">
      <c r="B692" s="1"/>
      <c r="C692" s="2"/>
      <c r="D692" s="3"/>
      <c r="E692" s="4"/>
      <c r="F692" s="5"/>
      <c r="G692" s="6"/>
      <c r="H692" s="7"/>
      <c r="P692" s="8"/>
      <c r="T692" s="9"/>
    </row>
    <row r="693">
      <c r="B693" s="1"/>
      <c r="C693" s="2"/>
      <c r="D693" s="3"/>
      <c r="E693" s="4"/>
      <c r="F693" s="5"/>
      <c r="G693" s="6"/>
      <c r="H693" s="7"/>
      <c r="P693" s="8"/>
      <c r="T693" s="9"/>
    </row>
    <row r="694">
      <c r="B694" s="1"/>
      <c r="C694" s="2"/>
      <c r="D694" s="3"/>
      <c r="E694" s="4"/>
      <c r="F694" s="5"/>
      <c r="G694" s="6"/>
      <c r="H694" s="7"/>
      <c r="P694" s="8"/>
      <c r="T694" s="9"/>
    </row>
    <row r="695">
      <c r="B695" s="1"/>
      <c r="C695" s="2"/>
      <c r="D695" s="3"/>
      <c r="E695" s="4"/>
      <c r="F695" s="5"/>
      <c r="G695" s="6"/>
      <c r="H695" s="7"/>
      <c r="P695" s="8"/>
      <c r="T695" s="9"/>
    </row>
    <row r="696">
      <c r="B696" s="1"/>
      <c r="C696" s="2"/>
      <c r="D696" s="3"/>
      <c r="E696" s="4"/>
      <c r="F696" s="5"/>
      <c r="G696" s="6"/>
      <c r="H696" s="7"/>
      <c r="P696" s="8"/>
      <c r="T696" s="9"/>
    </row>
    <row r="697">
      <c r="B697" s="1"/>
      <c r="C697" s="2"/>
      <c r="D697" s="3"/>
      <c r="E697" s="4"/>
      <c r="F697" s="5"/>
      <c r="G697" s="6"/>
      <c r="H697" s="7"/>
      <c r="P697" s="8"/>
      <c r="T697" s="9"/>
    </row>
    <row r="698">
      <c r="B698" s="1"/>
      <c r="C698" s="2"/>
      <c r="D698" s="3"/>
      <c r="E698" s="4"/>
      <c r="F698" s="5"/>
      <c r="G698" s="6"/>
      <c r="H698" s="7"/>
      <c r="P698" s="8"/>
      <c r="T698" s="9"/>
    </row>
    <row r="699">
      <c r="B699" s="1"/>
      <c r="C699" s="2"/>
      <c r="D699" s="3"/>
      <c r="E699" s="4"/>
      <c r="F699" s="5"/>
      <c r="G699" s="6"/>
      <c r="H699" s="7"/>
      <c r="P699" s="8"/>
      <c r="T699" s="9"/>
    </row>
    <row r="700">
      <c r="B700" s="1"/>
      <c r="C700" s="2"/>
      <c r="D700" s="3"/>
      <c r="E700" s="4"/>
      <c r="F700" s="5"/>
      <c r="G700" s="6"/>
      <c r="H700" s="7"/>
      <c r="P700" s="8"/>
      <c r="T700" s="9"/>
    </row>
    <row r="701">
      <c r="B701" s="1"/>
      <c r="C701" s="2"/>
      <c r="D701" s="3"/>
      <c r="E701" s="4"/>
      <c r="F701" s="5"/>
      <c r="G701" s="6"/>
      <c r="H701" s="7"/>
      <c r="P701" s="8"/>
      <c r="T701" s="9"/>
    </row>
    <row r="702">
      <c r="B702" s="1"/>
      <c r="C702" s="2"/>
      <c r="D702" s="3"/>
      <c r="E702" s="4"/>
      <c r="F702" s="5"/>
      <c r="G702" s="6"/>
      <c r="H702" s="7"/>
      <c r="P702" s="8"/>
      <c r="T702" s="9"/>
    </row>
    <row r="703">
      <c r="B703" s="1"/>
      <c r="C703" s="2"/>
      <c r="D703" s="3"/>
      <c r="E703" s="4"/>
      <c r="F703" s="5"/>
      <c r="G703" s="6"/>
      <c r="H703" s="7"/>
      <c r="P703" s="8"/>
      <c r="T703" s="9"/>
    </row>
    <row r="704">
      <c r="B704" s="1"/>
      <c r="C704" s="2"/>
      <c r="D704" s="3"/>
      <c r="E704" s="4"/>
      <c r="F704" s="5"/>
      <c r="G704" s="6"/>
      <c r="H704" s="7"/>
      <c r="P704" s="8"/>
      <c r="T704" s="9"/>
    </row>
    <row r="705">
      <c r="B705" s="1"/>
      <c r="C705" s="2"/>
      <c r="D705" s="3"/>
      <c r="E705" s="4"/>
      <c r="F705" s="5"/>
      <c r="G705" s="6"/>
      <c r="H705" s="7"/>
      <c r="P705" s="8"/>
      <c r="T705" s="9"/>
    </row>
    <row r="706">
      <c r="B706" s="1"/>
      <c r="C706" s="2"/>
      <c r="D706" s="3"/>
      <c r="E706" s="4"/>
      <c r="F706" s="5"/>
      <c r="G706" s="6"/>
      <c r="H706" s="7"/>
      <c r="P706" s="8"/>
      <c r="T706" s="9"/>
    </row>
    <row r="707">
      <c r="B707" s="1"/>
      <c r="C707" s="2"/>
      <c r="D707" s="3"/>
      <c r="E707" s="4"/>
      <c r="F707" s="5"/>
      <c r="G707" s="6"/>
      <c r="H707" s="7"/>
      <c r="P707" s="8"/>
      <c r="T707" s="9"/>
    </row>
    <row r="708">
      <c r="B708" s="1"/>
      <c r="C708" s="2"/>
      <c r="D708" s="3"/>
      <c r="E708" s="4"/>
      <c r="F708" s="5"/>
      <c r="G708" s="6"/>
      <c r="H708" s="7"/>
      <c r="P708" s="8"/>
      <c r="T708" s="9"/>
    </row>
    <row r="709">
      <c r="B709" s="1"/>
      <c r="C709" s="2"/>
      <c r="D709" s="3"/>
      <c r="E709" s="4"/>
      <c r="F709" s="5"/>
      <c r="G709" s="6"/>
      <c r="H709" s="7"/>
      <c r="P709" s="8"/>
      <c r="T709" s="9"/>
    </row>
    <row r="710">
      <c r="B710" s="1"/>
      <c r="C710" s="2"/>
      <c r="D710" s="3"/>
      <c r="E710" s="4"/>
      <c r="F710" s="5"/>
      <c r="G710" s="6"/>
      <c r="H710" s="7"/>
      <c r="P710" s="8"/>
      <c r="T710" s="9"/>
    </row>
    <row r="711">
      <c r="B711" s="1"/>
      <c r="C711" s="2"/>
      <c r="D711" s="3"/>
      <c r="E711" s="4"/>
      <c r="F711" s="5"/>
      <c r="G711" s="6"/>
      <c r="H711" s="7"/>
      <c r="P711" s="8"/>
      <c r="T711" s="9"/>
    </row>
    <row r="712">
      <c r="B712" s="1"/>
      <c r="C712" s="2"/>
      <c r="D712" s="3"/>
      <c r="E712" s="4"/>
      <c r="F712" s="5"/>
      <c r="G712" s="6"/>
      <c r="H712" s="7"/>
      <c r="P712" s="8"/>
      <c r="T712" s="9"/>
    </row>
    <row r="713">
      <c r="B713" s="1"/>
      <c r="C713" s="2"/>
      <c r="D713" s="3"/>
      <c r="E713" s="4"/>
      <c r="F713" s="5"/>
      <c r="G713" s="6"/>
      <c r="H713" s="7"/>
      <c r="P713" s="8"/>
      <c r="T713" s="9"/>
    </row>
    <row r="714">
      <c r="B714" s="1"/>
      <c r="C714" s="2"/>
      <c r="D714" s="3"/>
      <c r="E714" s="4"/>
      <c r="F714" s="5"/>
      <c r="G714" s="6"/>
      <c r="H714" s="7"/>
      <c r="P714" s="8"/>
      <c r="T714" s="9"/>
    </row>
    <row r="715">
      <c r="B715" s="1"/>
      <c r="C715" s="2"/>
      <c r="D715" s="3"/>
      <c r="E715" s="4"/>
      <c r="F715" s="5"/>
      <c r="G715" s="6"/>
      <c r="H715" s="7"/>
      <c r="P715" s="8"/>
      <c r="T715" s="9"/>
    </row>
    <row r="716">
      <c r="B716" s="1"/>
      <c r="C716" s="2"/>
      <c r="D716" s="3"/>
      <c r="E716" s="4"/>
      <c r="F716" s="5"/>
      <c r="G716" s="6"/>
      <c r="H716" s="7"/>
      <c r="P716" s="8"/>
      <c r="T716" s="9"/>
    </row>
    <row r="717">
      <c r="B717" s="1"/>
      <c r="C717" s="2"/>
      <c r="D717" s="3"/>
      <c r="E717" s="4"/>
      <c r="F717" s="5"/>
      <c r="G717" s="6"/>
      <c r="H717" s="7"/>
      <c r="P717" s="8"/>
      <c r="T717" s="9"/>
    </row>
    <row r="718">
      <c r="B718" s="1"/>
      <c r="C718" s="2"/>
      <c r="D718" s="3"/>
      <c r="E718" s="4"/>
      <c r="F718" s="5"/>
      <c r="G718" s="6"/>
      <c r="H718" s="7"/>
      <c r="P718" s="8"/>
      <c r="T718" s="9"/>
    </row>
    <row r="719">
      <c r="B719" s="1"/>
      <c r="C719" s="2"/>
      <c r="D719" s="3"/>
      <c r="E719" s="4"/>
      <c r="F719" s="5"/>
      <c r="G719" s="6"/>
      <c r="H719" s="7"/>
      <c r="P719" s="8"/>
      <c r="T719" s="9"/>
    </row>
    <row r="720">
      <c r="B720" s="1"/>
      <c r="C720" s="2"/>
      <c r="D720" s="3"/>
      <c r="E720" s="4"/>
      <c r="F720" s="5"/>
      <c r="G720" s="6"/>
      <c r="H720" s="7"/>
      <c r="P720" s="8"/>
      <c r="T720" s="9"/>
    </row>
    <row r="721">
      <c r="B721" s="1"/>
      <c r="C721" s="2"/>
      <c r="D721" s="3"/>
      <c r="E721" s="4"/>
      <c r="F721" s="5"/>
      <c r="G721" s="6"/>
      <c r="H721" s="7"/>
      <c r="P721" s="8"/>
      <c r="T721" s="9"/>
    </row>
    <row r="722">
      <c r="B722" s="1"/>
      <c r="C722" s="2"/>
      <c r="D722" s="3"/>
      <c r="E722" s="4"/>
      <c r="F722" s="5"/>
      <c r="G722" s="6"/>
      <c r="H722" s="7"/>
      <c r="P722" s="8"/>
      <c r="T722" s="9"/>
    </row>
    <row r="723">
      <c r="B723" s="1"/>
      <c r="C723" s="2"/>
      <c r="D723" s="3"/>
      <c r="E723" s="4"/>
      <c r="F723" s="5"/>
      <c r="G723" s="6"/>
      <c r="H723" s="7"/>
      <c r="P723" s="8"/>
      <c r="T723" s="9"/>
    </row>
    <row r="724">
      <c r="B724" s="1"/>
      <c r="C724" s="2"/>
      <c r="D724" s="3"/>
      <c r="E724" s="4"/>
      <c r="F724" s="5"/>
      <c r="G724" s="6"/>
      <c r="H724" s="7"/>
      <c r="P724" s="8"/>
      <c r="T724" s="9"/>
    </row>
    <row r="725">
      <c r="B725" s="1"/>
      <c r="C725" s="2"/>
      <c r="D725" s="3"/>
      <c r="E725" s="4"/>
      <c r="F725" s="5"/>
      <c r="G725" s="6"/>
      <c r="H725" s="7"/>
      <c r="P725" s="8"/>
      <c r="T725" s="9"/>
    </row>
    <row r="726">
      <c r="B726" s="1"/>
      <c r="C726" s="2"/>
      <c r="D726" s="3"/>
      <c r="E726" s="4"/>
      <c r="F726" s="5"/>
      <c r="G726" s="6"/>
      <c r="H726" s="7"/>
      <c r="P726" s="8"/>
      <c r="T726" s="9"/>
    </row>
    <row r="727">
      <c r="B727" s="1"/>
      <c r="C727" s="2"/>
      <c r="D727" s="3"/>
      <c r="E727" s="4"/>
      <c r="F727" s="5"/>
      <c r="G727" s="6"/>
      <c r="H727" s="7"/>
      <c r="P727" s="8"/>
      <c r="T727" s="9"/>
    </row>
    <row r="728">
      <c r="B728" s="1"/>
      <c r="C728" s="2"/>
      <c r="D728" s="3"/>
      <c r="E728" s="4"/>
      <c r="F728" s="5"/>
      <c r="G728" s="6"/>
      <c r="H728" s="7"/>
      <c r="P728" s="8"/>
      <c r="T728" s="9"/>
    </row>
    <row r="729">
      <c r="B729" s="1"/>
      <c r="C729" s="2"/>
      <c r="D729" s="3"/>
      <c r="E729" s="4"/>
      <c r="F729" s="5"/>
      <c r="G729" s="6"/>
      <c r="H729" s="7"/>
      <c r="P729" s="8"/>
      <c r="T729" s="9"/>
    </row>
    <row r="730">
      <c r="B730" s="1"/>
      <c r="C730" s="2"/>
      <c r="D730" s="3"/>
      <c r="E730" s="4"/>
      <c r="F730" s="5"/>
      <c r="G730" s="6"/>
      <c r="H730" s="7"/>
      <c r="P730" s="8"/>
      <c r="T730" s="9"/>
    </row>
    <row r="731">
      <c r="B731" s="1"/>
      <c r="C731" s="2"/>
      <c r="D731" s="3"/>
      <c r="E731" s="4"/>
      <c r="F731" s="5"/>
      <c r="G731" s="6"/>
      <c r="H731" s="7"/>
      <c r="P731" s="8"/>
      <c r="T731" s="9"/>
    </row>
    <row r="732">
      <c r="B732" s="1"/>
      <c r="C732" s="2"/>
      <c r="D732" s="3"/>
      <c r="E732" s="4"/>
      <c r="F732" s="5"/>
      <c r="G732" s="6"/>
      <c r="H732" s="7"/>
      <c r="P732" s="8"/>
      <c r="T732" s="9"/>
    </row>
    <row r="733">
      <c r="B733" s="1"/>
      <c r="C733" s="2"/>
      <c r="D733" s="3"/>
      <c r="E733" s="4"/>
      <c r="F733" s="5"/>
      <c r="G733" s="6"/>
      <c r="H733" s="7"/>
      <c r="P733" s="8"/>
      <c r="T733" s="9"/>
    </row>
    <row r="734">
      <c r="B734" s="1"/>
      <c r="C734" s="2"/>
      <c r="D734" s="3"/>
      <c r="E734" s="4"/>
      <c r="F734" s="5"/>
      <c r="G734" s="6"/>
      <c r="H734" s="7"/>
      <c r="P734" s="8"/>
      <c r="T734" s="9"/>
    </row>
    <row r="735">
      <c r="B735" s="1"/>
      <c r="C735" s="2"/>
      <c r="D735" s="3"/>
      <c r="E735" s="4"/>
      <c r="F735" s="5"/>
      <c r="G735" s="6"/>
      <c r="H735" s="7"/>
      <c r="P735" s="8"/>
      <c r="T735" s="9"/>
    </row>
    <row r="736">
      <c r="B736" s="1"/>
      <c r="C736" s="2"/>
      <c r="D736" s="3"/>
      <c r="E736" s="4"/>
      <c r="F736" s="5"/>
      <c r="G736" s="6"/>
      <c r="H736" s="7"/>
      <c r="P736" s="8"/>
      <c r="T736" s="9"/>
    </row>
    <row r="737">
      <c r="B737" s="1"/>
      <c r="C737" s="2"/>
      <c r="D737" s="3"/>
      <c r="E737" s="4"/>
      <c r="F737" s="5"/>
      <c r="G737" s="6"/>
      <c r="H737" s="7"/>
      <c r="P737" s="8"/>
      <c r="T737" s="9"/>
    </row>
    <row r="738">
      <c r="B738" s="1"/>
      <c r="C738" s="2"/>
      <c r="D738" s="3"/>
      <c r="E738" s="4"/>
      <c r="F738" s="5"/>
      <c r="G738" s="6"/>
      <c r="H738" s="7"/>
      <c r="P738" s="8"/>
      <c r="T738" s="9"/>
    </row>
    <row r="739">
      <c r="B739" s="1"/>
      <c r="C739" s="2"/>
      <c r="D739" s="3"/>
      <c r="E739" s="4"/>
      <c r="F739" s="5"/>
      <c r="G739" s="6"/>
      <c r="H739" s="7"/>
      <c r="P739" s="8"/>
      <c r="T739" s="9"/>
    </row>
    <row r="740">
      <c r="B740" s="1"/>
      <c r="C740" s="2"/>
      <c r="D740" s="3"/>
      <c r="E740" s="4"/>
      <c r="F740" s="5"/>
      <c r="G740" s="6"/>
      <c r="H740" s="7"/>
      <c r="P740" s="8"/>
      <c r="T740" s="9"/>
    </row>
    <row r="741">
      <c r="B741" s="1"/>
      <c r="C741" s="2"/>
      <c r="D741" s="3"/>
      <c r="E741" s="4"/>
      <c r="F741" s="5"/>
      <c r="G741" s="6"/>
      <c r="H741" s="7"/>
      <c r="P741" s="8"/>
      <c r="T741" s="9"/>
    </row>
    <row r="742">
      <c r="B742" s="1"/>
      <c r="C742" s="2"/>
      <c r="D742" s="3"/>
      <c r="E742" s="4"/>
      <c r="F742" s="5"/>
      <c r="G742" s="6"/>
      <c r="H742" s="7"/>
      <c r="P742" s="8"/>
      <c r="T742" s="9"/>
    </row>
    <row r="743">
      <c r="B743" s="1"/>
      <c r="C743" s="2"/>
      <c r="D743" s="3"/>
      <c r="E743" s="4"/>
      <c r="F743" s="5"/>
      <c r="G743" s="6"/>
      <c r="H743" s="7"/>
      <c r="P743" s="8"/>
      <c r="T743" s="9"/>
    </row>
    <row r="744">
      <c r="B744" s="1"/>
      <c r="C744" s="2"/>
      <c r="D744" s="3"/>
      <c r="E744" s="4"/>
      <c r="F744" s="5"/>
      <c r="G744" s="6"/>
      <c r="H744" s="7"/>
      <c r="P744" s="8"/>
      <c r="T744" s="9"/>
    </row>
    <row r="745">
      <c r="B745" s="1"/>
      <c r="C745" s="2"/>
      <c r="D745" s="3"/>
      <c r="E745" s="4"/>
      <c r="F745" s="5"/>
      <c r="G745" s="6"/>
      <c r="H745" s="7"/>
      <c r="P745" s="8"/>
      <c r="T745" s="9"/>
    </row>
    <row r="746">
      <c r="B746" s="1"/>
      <c r="C746" s="2"/>
      <c r="D746" s="3"/>
      <c r="E746" s="4"/>
      <c r="F746" s="5"/>
      <c r="G746" s="6"/>
      <c r="H746" s="7"/>
      <c r="P746" s="8"/>
      <c r="T746" s="9"/>
    </row>
    <row r="747">
      <c r="B747" s="1"/>
      <c r="C747" s="2"/>
      <c r="D747" s="3"/>
      <c r="E747" s="4"/>
      <c r="F747" s="5"/>
      <c r="G747" s="6"/>
      <c r="H747" s="7"/>
      <c r="P747" s="8"/>
      <c r="T747" s="9"/>
    </row>
    <row r="748">
      <c r="B748" s="1"/>
      <c r="C748" s="2"/>
      <c r="D748" s="3"/>
      <c r="E748" s="4"/>
      <c r="F748" s="5"/>
      <c r="G748" s="6"/>
      <c r="H748" s="7"/>
      <c r="P748" s="8"/>
      <c r="T748" s="9"/>
    </row>
    <row r="749">
      <c r="B749" s="1"/>
      <c r="C749" s="2"/>
      <c r="D749" s="3"/>
      <c r="E749" s="4"/>
      <c r="F749" s="5"/>
      <c r="G749" s="6"/>
      <c r="H749" s="7"/>
      <c r="P749" s="8"/>
      <c r="T749" s="9"/>
    </row>
    <row r="750">
      <c r="B750" s="1"/>
      <c r="C750" s="2"/>
      <c r="D750" s="3"/>
      <c r="E750" s="4"/>
      <c r="F750" s="5"/>
      <c r="G750" s="6"/>
      <c r="H750" s="7"/>
      <c r="P750" s="8"/>
      <c r="T750" s="9"/>
    </row>
    <row r="751">
      <c r="B751" s="1"/>
      <c r="C751" s="2"/>
      <c r="D751" s="3"/>
      <c r="E751" s="4"/>
      <c r="F751" s="5"/>
      <c r="G751" s="6"/>
      <c r="H751" s="7"/>
      <c r="P751" s="8"/>
      <c r="T751" s="9"/>
    </row>
    <row r="752">
      <c r="B752" s="1"/>
      <c r="C752" s="2"/>
      <c r="D752" s="3"/>
      <c r="E752" s="4"/>
      <c r="F752" s="5"/>
      <c r="G752" s="6"/>
      <c r="H752" s="7"/>
      <c r="P752" s="8"/>
      <c r="T752" s="9"/>
    </row>
    <row r="753">
      <c r="B753" s="1"/>
      <c r="C753" s="2"/>
      <c r="D753" s="3"/>
      <c r="E753" s="4"/>
      <c r="F753" s="5"/>
      <c r="G753" s="6"/>
      <c r="H753" s="7"/>
      <c r="P753" s="8"/>
      <c r="T753" s="9"/>
    </row>
    <row r="754">
      <c r="B754" s="1"/>
      <c r="C754" s="2"/>
      <c r="D754" s="3"/>
      <c r="E754" s="4"/>
      <c r="F754" s="5"/>
      <c r="G754" s="6"/>
      <c r="H754" s="7"/>
      <c r="P754" s="8"/>
      <c r="T754" s="9"/>
    </row>
    <row r="755">
      <c r="B755" s="1"/>
      <c r="C755" s="2"/>
      <c r="D755" s="3"/>
      <c r="E755" s="4"/>
      <c r="F755" s="5"/>
      <c r="G755" s="6"/>
      <c r="H755" s="7"/>
      <c r="P755" s="8"/>
      <c r="T755" s="9"/>
    </row>
    <row r="756">
      <c r="B756" s="1"/>
      <c r="C756" s="2"/>
      <c r="D756" s="3"/>
      <c r="E756" s="4"/>
      <c r="F756" s="5"/>
      <c r="G756" s="6"/>
      <c r="H756" s="7"/>
      <c r="P756" s="8"/>
      <c r="T756" s="9"/>
    </row>
    <row r="757">
      <c r="B757" s="1"/>
      <c r="C757" s="2"/>
      <c r="D757" s="3"/>
      <c r="E757" s="4"/>
      <c r="F757" s="5"/>
      <c r="G757" s="6"/>
      <c r="H757" s="7"/>
      <c r="P757" s="8"/>
      <c r="T757" s="9"/>
    </row>
    <row r="758">
      <c r="B758" s="1"/>
      <c r="C758" s="2"/>
      <c r="D758" s="3"/>
      <c r="E758" s="4"/>
      <c r="F758" s="5"/>
      <c r="G758" s="6"/>
      <c r="H758" s="7"/>
      <c r="P758" s="8"/>
      <c r="T758" s="9"/>
    </row>
    <row r="759">
      <c r="B759" s="1"/>
      <c r="C759" s="2"/>
      <c r="D759" s="3"/>
      <c r="E759" s="4"/>
      <c r="F759" s="5"/>
      <c r="G759" s="6"/>
      <c r="H759" s="7"/>
      <c r="P759" s="8"/>
      <c r="T759" s="9"/>
    </row>
    <row r="760">
      <c r="B760" s="1"/>
      <c r="C760" s="2"/>
      <c r="D760" s="3"/>
      <c r="E760" s="4"/>
      <c r="F760" s="5"/>
      <c r="G760" s="6"/>
      <c r="H760" s="7"/>
      <c r="P760" s="8"/>
      <c r="T760" s="9"/>
    </row>
    <row r="761">
      <c r="B761" s="1"/>
      <c r="C761" s="2"/>
      <c r="D761" s="3"/>
      <c r="E761" s="4"/>
      <c r="F761" s="5"/>
      <c r="G761" s="6"/>
      <c r="H761" s="7"/>
      <c r="P761" s="8"/>
      <c r="T761" s="9"/>
    </row>
    <row r="762">
      <c r="B762" s="1"/>
      <c r="C762" s="2"/>
      <c r="D762" s="3"/>
      <c r="E762" s="4"/>
      <c r="F762" s="5"/>
      <c r="G762" s="6"/>
      <c r="H762" s="7"/>
      <c r="P762" s="8"/>
      <c r="T762" s="9"/>
    </row>
    <row r="763">
      <c r="B763" s="1"/>
      <c r="C763" s="2"/>
      <c r="D763" s="3"/>
      <c r="E763" s="4"/>
      <c r="F763" s="5"/>
      <c r="G763" s="6"/>
      <c r="H763" s="7"/>
      <c r="P763" s="8"/>
      <c r="T763" s="9"/>
    </row>
    <row r="764">
      <c r="B764" s="1"/>
      <c r="C764" s="2"/>
      <c r="D764" s="3"/>
      <c r="E764" s="4"/>
      <c r="F764" s="5"/>
      <c r="G764" s="6"/>
      <c r="H764" s="7"/>
      <c r="P764" s="8"/>
      <c r="T764" s="9"/>
    </row>
    <row r="765">
      <c r="B765" s="1"/>
      <c r="C765" s="2"/>
      <c r="D765" s="3"/>
      <c r="E765" s="4"/>
      <c r="F765" s="5"/>
      <c r="G765" s="6"/>
      <c r="H765" s="7"/>
      <c r="P765" s="8"/>
      <c r="T765" s="9"/>
    </row>
    <row r="766">
      <c r="B766" s="1"/>
      <c r="C766" s="2"/>
      <c r="D766" s="3"/>
      <c r="E766" s="4"/>
      <c r="F766" s="5"/>
      <c r="G766" s="6"/>
      <c r="H766" s="7"/>
      <c r="P766" s="8"/>
      <c r="T766" s="9"/>
    </row>
    <row r="767">
      <c r="B767" s="1"/>
      <c r="C767" s="2"/>
      <c r="D767" s="3"/>
      <c r="E767" s="4"/>
      <c r="F767" s="5"/>
      <c r="G767" s="6"/>
      <c r="H767" s="7"/>
      <c r="P767" s="8"/>
      <c r="T767" s="9"/>
    </row>
    <row r="768">
      <c r="B768" s="1"/>
      <c r="C768" s="2"/>
      <c r="D768" s="3"/>
      <c r="E768" s="4"/>
      <c r="F768" s="5"/>
      <c r="G768" s="6"/>
      <c r="H768" s="7"/>
      <c r="P768" s="8"/>
      <c r="T768" s="9"/>
    </row>
    <row r="769">
      <c r="B769" s="1"/>
      <c r="C769" s="2"/>
      <c r="D769" s="3"/>
      <c r="E769" s="4"/>
      <c r="F769" s="5"/>
      <c r="G769" s="6"/>
      <c r="H769" s="7"/>
      <c r="P769" s="8"/>
      <c r="T769" s="9"/>
    </row>
    <row r="770">
      <c r="B770" s="1"/>
      <c r="C770" s="2"/>
      <c r="D770" s="3"/>
      <c r="E770" s="4"/>
      <c r="F770" s="5"/>
      <c r="G770" s="6"/>
      <c r="H770" s="7"/>
      <c r="P770" s="8"/>
      <c r="T770" s="9"/>
    </row>
    <row r="771">
      <c r="B771" s="1"/>
      <c r="C771" s="2"/>
      <c r="D771" s="3"/>
      <c r="E771" s="4"/>
      <c r="F771" s="5"/>
      <c r="G771" s="6"/>
      <c r="H771" s="7"/>
      <c r="P771" s="8"/>
      <c r="T771" s="9"/>
    </row>
    <row r="772">
      <c r="B772" s="1"/>
      <c r="C772" s="2"/>
      <c r="D772" s="3"/>
      <c r="E772" s="4"/>
      <c r="F772" s="5"/>
      <c r="G772" s="6"/>
      <c r="H772" s="7"/>
      <c r="P772" s="8"/>
      <c r="T772" s="9"/>
    </row>
    <row r="773">
      <c r="B773" s="1"/>
      <c r="C773" s="2"/>
      <c r="D773" s="3"/>
      <c r="E773" s="4"/>
      <c r="F773" s="5"/>
      <c r="G773" s="6"/>
      <c r="H773" s="7"/>
      <c r="P773" s="8"/>
      <c r="T773" s="9"/>
    </row>
    <row r="774">
      <c r="B774" s="1"/>
      <c r="C774" s="2"/>
      <c r="D774" s="3"/>
      <c r="E774" s="4"/>
      <c r="F774" s="5"/>
      <c r="G774" s="6"/>
      <c r="H774" s="7"/>
      <c r="P774" s="8"/>
      <c r="T774" s="9"/>
    </row>
    <row r="775">
      <c r="B775" s="1"/>
      <c r="C775" s="2"/>
      <c r="D775" s="3"/>
      <c r="E775" s="4"/>
      <c r="F775" s="5"/>
      <c r="G775" s="6"/>
      <c r="H775" s="7"/>
      <c r="P775" s="8"/>
      <c r="T775" s="9"/>
    </row>
    <row r="776">
      <c r="B776" s="1"/>
      <c r="C776" s="2"/>
      <c r="D776" s="3"/>
      <c r="E776" s="4"/>
      <c r="F776" s="5"/>
      <c r="G776" s="6"/>
      <c r="H776" s="7"/>
      <c r="P776" s="8"/>
      <c r="T776" s="9"/>
    </row>
    <row r="777">
      <c r="B777" s="1"/>
      <c r="C777" s="2"/>
      <c r="D777" s="3"/>
      <c r="E777" s="4"/>
      <c r="F777" s="5"/>
      <c r="G777" s="6"/>
      <c r="H777" s="7"/>
      <c r="P777" s="8"/>
      <c r="T777" s="9"/>
    </row>
    <row r="778">
      <c r="B778" s="1"/>
      <c r="C778" s="2"/>
      <c r="D778" s="3"/>
      <c r="E778" s="4"/>
      <c r="F778" s="5"/>
      <c r="G778" s="6"/>
      <c r="H778" s="7"/>
      <c r="P778" s="8"/>
      <c r="T778" s="9"/>
    </row>
    <row r="779">
      <c r="B779" s="1"/>
      <c r="C779" s="2"/>
      <c r="D779" s="3"/>
      <c r="E779" s="4"/>
      <c r="F779" s="5"/>
      <c r="G779" s="6"/>
      <c r="H779" s="7"/>
      <c r="P779" s="8"/>
      <c r="T779" s="9"/>
    </row>
    <row r="780">
      <c r="B780" s="1"/>
      <c r="C780" s="2"/>
      <c r="D780" s="3"/>
      <c r="E780" s="4"/>
      <c r="F780" s="5"/>
      <c r="G780" s="6"/>
      <c r="H780" s="7"/>
      <c r="P780" s="8"/>
      <c r="T780" s="9"/>
    </row>
    <row r="781">
      <c r="B781" s="1"/>
      <c r="C781" s="2"/>
      <c r="D781" s="3"/>
      <c r="E781" s="4"/>
      <c r="F781" s="5"/>
      <c r="G781" s="6"/>
      <c r="H781" s="7"/>
      <c r="P781" s="8"/>
      <c r="T781" s="9"/>
    </row>
    <row r="782">
      <c r="B782" s="1"/>
      <c r="C782" s="2"/>
      <c r="D782" s="3"/>
      <c r="E782" s="4"/>
      <c r="F782" s="5"/>
      <c r="G782" s="6"/>
      <c r="H782" s="7"/>
      <c r="P782" s="8"/>
      <c r="T782" s="9"/>
    </row>
    <row r="783">
      <c r="B783" s="1"/>
      <c r="C783" s="2"/>
      <c r="D783" s="3"/>
      <c r="E783" s="4"/>
      <c r="F783" s="5"/>
      <c r="G783" s="6"/>
      <c r="H783" s="7"/>
      <c r="P783" s="8"/>
      <c r="T783" s="9"/>
    </row>
    <row r="784">
      <c r="B784" s="1"/>
      <c r="C784" s="2"/>
      <c r="D784" s="3"/>
      <c r="E784" s="4"/>
      <c r="F784" s="5"/>
      <c r="G784" s="6"/>
      <c r="H784" s="7"/>
      <c r="P784" s="8"/>
      <c r="T784" s="9"/>
    </row>
    <row r="785">
      <c r="B785" s="1"/>
      <c r="C785" s="2"/>
      <c r="D785" s="3"/>
      <c r="E785" s="4"/>
      <c r="F785" s="5"/>
      <c r="G785" s="6"/>
      <c r="H785" s="7"/>
      <c r="P785" s="8"/>
      <c r="T785" s="9"/>
    </row>
    <row r="786">
      <c r="B786" s="1"/>
      <c r="C786" s="2"/>
      <c r="D786" s="3"/>
      <c r="E786" s="4"/>
      <c r="F786" s="5"/>
      <c r="G786" s="6"/>
      <c r="H786" s="7"/>
      <c r="P786" s="8"/>
      <c r="T786" s="9"/>
    </row>
    <row r="787">
      <c r="B787" s="1"/>
      <c r="C787" s="2"/>
      <c r="D787" s="3"/>
      <c r="E787" s="4"/>
      <c r="F787" s="5"/>
      <c r="G787" s="6"/>
      <c r="H787" s="7"/>
      <c r="P787" s="8"/>
      <c r="T787" s="9"/>
    </row>
    <row r="788">
      <c r="B788" s="1"/>
      <c r="C788" s="2"/>
      <c r="D788" s="3"/>
      <c r="E788" s="4"/>
      <c r="F788" s="5"/>
      <c r="G788" s="6"/>
      <c r="H788" s="7"/>
      <c r="P788" s="8"/>
      <c r="T788" s="9"/>
    </row>
    <row r="789">
      <c r="B789" s="1"/>
      <c r="C789" s="2"/>
      <c r="D789" s="3"/>
      <c r="E789" s="4"/>
      <c r="F789" s="5"/>
      <c r="G789" s="6"/>
      <c r="H789" s="7"/>
      <c r="P789" s="8"/>
      <c r="T789" s="9"/>
    </row>
    <row r="790">
      <c r="B790" s="1"/>
      <c r="C790" s="2"/>
      <c r="D790" s="3"/>
      <c r="E790" s="4"/>
      <c r="F790" s="5"/>
      <c r="G790" s="6"/>
      <c r="H790" s="7"/>
      <c r="P790" s="8"/>
      <c r="T790" s="9"/>
    </row>
    <row r="791">
      <c r="B791" s="1"/>
      <c r="C791" s="2"/>
      <c r="D791" s="3"/>
      <c r="E791" s="4"/>
      <c r="F791" s="5"/>
      <c r="G791" s="6"/>
      <c r="H791" s="7"/>
      <c r="P791" s="8"/>
      <c r="T791" s="9"/>
    </row>
    <row r="792">
      <c r="B792" s="1"/>
      <c r="C792" s="2"/>
      <c r="D792" s="3"/>
      <c r="E792" s="4"/>
      <c r="F792" s="5"/>
      <c r="G792" s="6"/>
      <c r="H792" s="7"/>
      <c r="P792" s="8"/>
      <c r="T792" s="9"/>
    </row>
    <row r="793">
      <c r="B793" s="1"/>
      <c r="C793" s="2"/>
      <c r="D793" s="3"/>
      <c r="E793" s="4"/>
      <c r="F793" s="5"/>
      <c r="G793" s="6"/>
      <c r="H793" s="7"/>
      <c r="P793" s="8"/>
      <c r="T793" s="9"/>
    </row>
    <row r="794">
      <c r="B794" s="1"/>
      <c r="C794" s="2"/>
      <c r="D794" s="3"/>
      <c r="E794" s="4"/>
      <c r="F794" s="5"/>
      <c r="G794" s="6"/>
      <c r="H794" s="7"/>
      <c r="P794" s="8"/>
      <c r="T794" s="9"/>
    </row>
    <row r="795">
      <c r="B795" s="1"/>
      <c r="C795" s="2"/>
      <c r="D795" s="3"/>
      <c r="E795" s="4"/>
      <c r="F795" s="5"/>
      <c r="G795" s="6"/>
      <c r="H795" s="7"/>
      <c r="P795" s="8"/>
      <c r="T795" s="9"/>
    </row>
    <row r="796">
      <c r="B796" s="1"/>
      <c r="C796" s="2"/>
      <c r="D796" s="3"/>
      <c r="E796" s="4"/>
      <c r="F796" s="5"/>
      <c r="G796" s="6"/>
      <c r="H796" s="7"/>
      <c r="P796" s="8"/>
      <c r="T796" s="9"/>
    </row>
    <row r="797">
      <c r="B797" s="1"/>
      <c r="C797" s="2"/>
      <c r="D797" s="3"/>
      <c r="E797" s="4"/>
      <c r="F797" s="5"/>
      <c r="G797" s="6"/>
      <c r="H797" s="7"/>
      <c r="P797" s="8"/>
      <c r="T797" s="9"/>
    </row>
    <row r="798">
      <c r="B798" s="1"/>
      <c r="C798" s="2"/>
      <c r="D798" s="3"/>
      <c r="E798" s="4"/>
      <c r="F798" s="5"/>
      <c r="G798" s="6"/>
      <c r="H798" s="7"/>
      <c r="P798" s="8"/>
      <c r="T798" s="9"/>
    </row>
    <row r="799">
      <c r="B799" s="1"/>
      <c r="C799" s="2"/>
      <c r="D799" s="3"/>
      <c r="E799" s="4"/>
      <c r="F799" s="5"/>
      <c r="G799" s="6"/>
      <c r="H799" s="7"/>
      <c r="P799" s="8"/>
      <c r="T799" s="9"/>
    </row>
    <row r="800">
      <c r="B800" s="1"/>
      <c r="C800" s="2"/>
      <c r="D800" s="3"/>
      <c r="E800" s="4"/>
      <c r="F800" s="5"/>
      <c r="G800" s="6"/>
      <c r="H800" s="7"/>
      <c r="P800" s="8"/>
      <c r="T800" s="9"/>
    </row>
    <row r="801">
      <c r="B801" s="1"/>
      <c r="C801" s="2"/>
      <c r="D801" s="3"/>
      <c r="E801" s="4"/>
      <c r="F801" s="5"/>
      <c r="G801" s="6"/>
      <c r="H801" s="7"/>
      <c r="P801" s="8"/>
      <c r="T801" s="9"/>
    </row>
    <row r="802">
      <c r="B802" s="1"/>
      <c r="C802" s="2"/>
      <c r="D802" s="3"/>
      <c r="E802" s="4"/>
      <c r="F802" s="5"/>
      <c r="G802" s="6"/>
      <c r="H802" s="7"/>
      <c r="P802" s="8"/>
      <c r="T802" s="9"/>
    </row>
    <row r="803">
      <c r="B803" s="1"/>
      <c r="C803" s="2"/>
      <c r="D803" s="3"/>
      <c r="E803" s="4"/>
      <c r="F803" s="5"/>
      <c r="G803" s="6"/>
      <c r="H803" s="7"/>
      <c r="P803" s="8"/>
      <c r="T803" s="9"/>
    </row>
    <row r="804">
      <c r="B804" s="1"/>
      <c r="C804" s="2"/>
      <c r="D804" s="3"/>
      <c r="E804" s="4"/>
      <c r="F804" s="5"/>
      <c r="G804" s="6"/>
      <c r="H804" s="7"/>
      <c r="P804" s="8"/>
      <c r="T804" s="9"/>
    </row>
    <row r="805">
      <c r="B805" s="1"/>
      <c r="C805" s="2"/>
      <c r="D805" s="3"/>
      <c r="E805" s="4"/>
      <c r="F805" s="5"/>
      <c r="G805" s="6"/>
      <c r="H805" s="7"/>
      <c r="P805" s="8"/>
      <c r="T805" s="9"/>
    </row>
    <row r="806">
      <c r="B806" s="1"/>
      <c r="C806" s="2"/>
      <c r="D806" s="3"/>
      <c r="E806" s="4"/>
      <c r="F806" s="5"/>
      <c r="G806" s="6"/>
      <c r="H806" s="7"/>
      <c r="P806" s="8"/>
      <c r="T806" s="9"/>
    </row>
    <row r="807">
      <c r="B807" s="1"/>
      <c r="C807" s="2"/>
      <c r="D807" s="3"/>
      <c r="E807" s="4"/>
      <c r="F807" s="5"/>
      <c r="G807" s="6"/>
      <c r="H807" s="7"/>
      <c r="P807" s="8"/>
      <c r="T807" s="9"/>
    </row>
    <row r="808">
      <c r="B808" s="1"/>
      <c r="C808" s="2"/>
      <c r="D808" s="3"/>
      <c r="E808" s="4"/>
      <c r="F808" s="5"/>
      <c r="G808" s="6"/>
      <c r="H808" s="7"/>
      <c r="P808" s="8"/>
      <c r="T808" s="9"/>
    </row>
    <row r="809">
      <c r="B809" s="1"/>
      <c r="C809" s="2"/>
      <c r="D809" s="3"/>
      <c r="E809" s="4"/>
      <c r="F809" s="5"/>
      <c r="G809" s="6"/>
      <c r="H809" s="7"/>
      <c r="P809" s="8"/>
      <c r="T809" s="9"/>
    </row>
    <row r="810">
      <c r="B810" s="1"/>
      <c r="C810" s="2"/>
      <c r="D810" s="3"/>
      <c r="E810" s="4"/>
      <c r="F810" s="5"/>
      <c r="G810" s="6"/>
      <c r="H810" s="7"/>
      <c r="P810" s="8"/>
      <c r="T810" s="9"/>
    </row>
    <row r="811">
      <c r="B811" s="1"/>
      <c r="C811" s="2"/>
      <c r="D811" s="3"/>
      <c r="E811" s="4"/>
      <c r="F811" s="5"/>
      <c r="G811" s="6"/>
      <c r="H811" s="7"/>
      <c r="P811" s="8"/>
      <c r="T811" s="9"/>
    </row>
    <row r="812">
      <c r="B812" s="1"/>
      <c r="C812" s="2"/>
      <c r="D812" s="3"/>
      <c r="E812" s="4"/>
      <c r="F812" s="5"/>
      <c r="G812" s="6"/>
      <c r="H812" s="7"/>
      <c r="P812" s="8"/>
      <c r="T812" s="9"/>
    </row>
    <row r="813">
      <c r="B813" s="1"/>
      <c r="C813" s="2"/>
      <c r="D813" s="3"/>
      <c r="E813" s="4"/>
      <c r="F813" s="5"/>
      <c r="G813" s="6"/>
      <c r="H813" s="7"/>
      <c r="P813" s="8"/>
      <c r="T813" s="9"/>
    </row>
    <row r="814">
      <c r="B814" s="1"/>
      <c r="C814" s="2"/>
      <c r="D814" s="3"/>
      <c r="E814" s="4"/>
      <c r="F814" s="5"/>
      <c r="G814" s="6"/>
      <c r="H814" s="7"/>
      <c r="P814" s="8"/>
      <c r="T814" s="9"/>
    </row>
    <row r="815">
      <c r="B815" s="1"/>
      <c r="C815" s="2"/>
      <c r="D815" s="3"/>
      <c r="E815" s="4"/>
      <c r="F815" s="5"/>
      <c r="G815" s="6"/>
      <c r="H815" s="7"/>
      <c r="P815" s="8"/>
      <c r="T815" s="9"/>
    </row>
    <row r="816">
      <c r="B816" s="1"/>
      <c r="C816" s="2"/>
      <c r="D816" s="3"/>
      <c r="E816" s="4"/>
      <c r="F816" s="5"/>
      <c r="G816" s="6"/>
      <c r="H816" s="7"/>
      <c r="P816" s="8"/>
      <c r="T816" s="9"/>
    </row>
    <row r="817">
      <c r="B817" s="1"/>
      <c r="C817" s="2"/>
      <c r="D817" s="3"/>
      <c r="E817" s="4"/>
      <c r="F817" s="5"/>
      <c r="G817" s="6"/>
      <c r="H817" s="7"/>
      <c r="P817" s="8"/>
      <c r="T817" s="9"/>
    </row>
    <row r="818">
      <c r="B818" s="1"/>
      <c r="C818" s="2"/>
      <c r="D818" s="3"/>
      <c r="E818" s="4"/>
      <c r="F818" s="5"/>
      <c r="G818" s="6"/>
      <c r="H818" s="7"/>
      <c r="P818" s="8"/>
      <c r="T818" s="9"/>
    </row>
    <row r="819">
      <c r="B819" s="1"/>
      <c r="C819" s="2"/>
      <c r="D819" s="3"/>
      <c r="E819" s="4"/>
      <c r="F819" s="5"/>
      <c r="G819" s="6"/>
      <c r="H819" s="7"/>
      <c r="P819" s="8"/>
      <c r="T819" s="9"/>
    </row>
    <row r="820">
      <c r="B820" s="1"/>
      <c r="C820" s="2"/>
      <c r="D820" s="3"/>
      <c r="E820" s="4"/>
      <c r="F820" s="5"/>
      <c r="G820" s="6"/>
      <c r="H820" s="7"/>
      <c r="P820" s="8"/>
      <c r="T820" s="9"/>
    </row>
    <row r="821">
      <c r="B821" s="1"/>
      <c r="C821" s="2"/>
      <c r="D821" s="3"/>
      <c r="E821" s="4"/>
      <c r="F821" s="5"/>
      <c r="G821" s="6"/>
      <c r="H821" s="7"/>
      <c r="P821" s="8"/>
      <c r="T821" s="9"/>
    </row>
    <row r="822">
      <c r="B822" s="1"/>
      <c r="C822" s="2"/>
      <c r="D822" s="3"/>
      <c r="E822" s="4"/>
      <c r="F822" s="5"/>
      <c r="G822" s="6"/>
      <c r="H822" s="7"/>
      <c r="P822" s="8"/>
      <c r="T822" s="9"/>
    </row>
    <row r="823">
      <c r="B823" s="1"/>
      <c r="C823" s="2"/>
      <c r="D823" s="3"/>
      <c r="E823" s="4"/>
      <c r="F823" s="5"/>
      <c r="G823" s="6"/>
      <c r="H823" s="7"/>
      <c r="P823" s="8"/>
      <c r="T823" s="9"/>
    </row>
    <row r="824">
      <c r="B824" s="1"/>
      <c r="C824" s="2"/>
      <c r="D824" s="3"/>
      <c r="E824" s="4"/>
      <c r="F824" s="5"/>
      <c r="G824" s="6"/>
      <c r="H824" s="7"/>
      <c r="P824" s="8"/>
      <c r="T824" s="9"/>
    </row>
    <row r="825">
      <c r="B825" s="1"/>
      <c r="C825" s="2"/>
      <c r="D825" s="3"/>
      <c r="E825" s="4"/>
      <c r="F825" s="5"/>
      <c r="G825" s="6"/>
      <c r="H825" s="7"/>
      <c r="P825" s="8"/>
      <c r="T825" s="9"/>
    </row>
    <row r="826">
      <c r="B826" s="1"/>
      <c r="C826" s="2"/>
      <c r="D826" s="3"/>
      <c r="E826" s="4"/>
      <c r="F826" s="5"/>
      <c r="G826" s="6"/>
      <c r="H826" s="7"/>
      <c r="P826" s="8"/>
      <c r="T826" s="9"/>
    </row>
    <row r="827">
      <c r="B827" s="1"/>
      <c r="C827" s="2"/>
      <c r="D827" s="3"/>
      <c r="E827" s="4"/>
      <c r="F827" s="5"/>
      <c r="G827" s="6"/>
      <c r="H827" s="7"/>
      <c r="P827" s="8"/>
      <c r="T827" s="9"/>
    </row>
    <row r="828">
      <c r="B828" s="1"/>
      <c r="C828" s="2"/>
      <c r="D828" s="3"/>
      <c r="E828" s="4"/>
      <c r="F828" s="5"/>
      <c r="G828" s="6"/>
      <c r="H828" s="7"/>
      <c r="P828" s="8"/>
      <c r="T828" s="9"/>
    </row>
    <row r="829">
      <c r="B829" s="1"/>
      <c r="C829" s="2"/>
      <c r="D829" s="3"/>
      <c r="E829" s="4"/>
      <c r="F829" s="5"/>
      <c r="G829" s="6"/>
      <c r="H829" s="7"/>
      <c r="P829" s="8"/>
      <c r="T829" s="9"/>
    </row>
    <row r="830">
      <c r="B830" s="1"/>
      <c r="C830" s="2"/>
      <c r="D830" s="3"/>
      <c r="E830" s="4"/>
      <c r="F830" s="5"/>
      <c r="G830" s="6"/>
      <c r="H830" s="7"/>
      <c r="P830" s="8"/>
      <c r="T830" s="9"/>
    </row>
    <row r="831">
      <c r="B831" s="1"/>
      <c r="C831" s="2"/>
      <c r="D831" s="3"/>
      <c r="E831" s="4"/>
      <c r="F831" s="5"/>
      <c r="G831" s="6"/>
      <c r="H831" s="7"/>
      <c r="P831" s="8"/>
      <c r="T831" s="9"/>
    </row>
    <row r="832">
      <c r="B832" s="1"/>
      <c r="C832" s="2"/>
      <c r="D832" s="3"/>
      <c r="E832" s="4"/>
      <c r="F832" s="5"/>
      <c r="G832" s="6"/>
      <c r="H832" s="7"/>
      <c r="P832" s="8"/>
      <c r="T832" s="9"/>
    </row>
    <row r="833">
      <c r="B833" s="1"/>
      <c r="C833" s="2"/>
      <c r="D833" s="3"/>
      <c r="E833" s="4"/>
      <c r="F833" s="5"/>
      <c r="G833" s="6"/>
      <c r="H833" s="7"/>
      <c r="P833" s="8"/>
      <c r="T833" s="9"/>
    </row>
    <row r="834">
      <c r="B834" s="1"/>
      <c r="C834" s="2"/>
      <c r="D834" s="3"/>
      <c r="E834" s="4"/>
      <c r="F834" s="5"/>
      <c r="G834" s="6"/>
      <c r="H834" s="7"/>
      <c r="P834" s="8"/>
      <c r="T834" s="9"/>
    </row>
    <row r="835">
      <c r="B835" s="1"/>
      <c r="C835" s="2"/>
      <c r="D835" s="3"/>
      <c r="E835" s="4"/>
      <c r="F835" s="5"/>
      <c r="G835" s="6"/>
      <c r="H835" s="7"/>
      <c r="P835" s="8"/>
      <c r="T835" s="9"/>
    </row>
    <row r="836">
      <c r="B836" s="1"/>
      <c r="C836" s="2"/>
      <c r="D836" s="3"/>
      <c r="E836" s="4"/>
      <c r="F836" s="5"/>
      <c r="G836" s="6"/>
      <c r="H836" s="7"/>
      <c r="P836" s="8"/>
      <c r="T836" s="9"/>
    </row>
    <row r="837">
      <c r="B837" s="1"/>
      <c r="C837" s="2"/>
      <c r="D837" s="3"/>
      <c r="E837" s="4"/>
      <c r="F837" s="5"/>
      <c r="G837" s="6"/>
      <c r="H837" s="7"/>
      <c r="P837" s="8"/>
      <c r="T837" s="9"/>
    </row>
    <row r="838">
      <c r="B838" s="1"/>
      <c r="C838" s="2"/>
      <c r="D838" s="3"/>
      <c r="E838" s="4"/>
      <c r="F838" s="5"/>
      <c r="G838" s="6"/>
      <c r="H838" s="7"/>
      <c r="P838" s="8"/>
      <c r="T838" s="9"/>
    </row>
    <row r="839">
      <c r="B839" s="1"/>
      <c r="C839" s="2"/>
      <c r="D839" s="3"/>
      <c r="E839" s="4"/>
      <c r="F839" s="5"/>
      <c r="G839" s="6"/>
      <c r="H839" s="7"/>
      <c r="P839" s="8"/>
      <c r="T839" s="9"/>
    </row>
    <row r="840">
      <c r="B840" s="1"/>
      <c r="C840" s="2"/>
      <c r="D840" s="3"/>
      <c r="E840" s="4"/>
      <c r="F840" s="5"/>
      <c r="G840" s="6"/>
      <c r="H840" s="7"/>
      <c r="P840" s="8"/>
      <c r="T840" s="9"/>
    </row>
    <row r="841">
      <c r="B841" s="1"/>
      <c r="C841" s="2"/>
      <c r="D841" s="3"/>
      <c r="E841" s="4"/>
      <c r="F841" s="5"/>
      <c r="G841" s="6"/>
      <c r="H841" s="7"/>
      <c r="P841" s="8"/>
      <c r="T841" s="9"/>
    </row>
    <row r="842">
      <c r="B842" s="1"/>
      <c r="C842" s="2"/>
      <c r="D842" s="3"/>
      <c r="E842" s="4"/>
      <c r="F842" s="5"/>
      <c r="G842" s="6"/>
      <c r="H842" s="7"/>
      <c r="P842" s="8"/>
      <c r="T842" s="9"/>
    </row>
    <row r="843">
      <c r="B843" s="1"/>
      <c r="C843" s="2"/>
      <c r="D843" s="3"/>
      <c r="E843" s="4"/>
      <c r="F843" s="5"/>
      <c r="G843" s="6"/>
      <c r="H843" s="7"/>
      <c r="P843" s="8"/>
      <c r="T843" s="9"/>
    </row>
    <row r="844">
      <c r="B844" s="1"/>
      <c r="C844" s="2"/>
      <c r="D844" s="3"/>
      <c r="E844" s="4"/>
      <c r="F844" s="5"/>
      <c r="G844" s="6"/>
      <c r="H844" s="7"/>
      <c r="P844" s="8"/>
      <c r="T844" s="9"/>
    </row>
    <row r="845">
      <c r="B845" s="1"/>
      <c r="C845" s="2"/>
      <c r="D845" s="3"/>
      <c r="E845" s="4"/>
      <c r="F845" s="5"/>
      <c r="G845" s="6"/>
      <c r="H845" s="7"/>
      <c r="P845" s="8"/>
      <c r="T845" s="9"/>
    </row>
    <row r="846">
      <c r="B846" s="1"/>
      <c r="C846" s="2"/>
      <c r="D846" s="3"/>
      <c r="E846" s="4"/>
      <c r="F846" s="5"/>
      <c r="G846" s="6"/>
      <c r="H846" s="7"/>
      <c r="P846" s="8"/>
      <c r="T846" s="9"/>
    </row>
    <row r="847">
      <c r="B847" s="1"/>
      <c r="C847" s="2"/>
      <c r="D847" s="3"/>
      <c r="E847" s="4"/>
      <c r="F847" s="5"/>
      <c r="G847" s="6"/>
      <c r="H847" s="7"/>
      <c r="P847" s="8"/>
      <c r="T847" s="9"/>
    </row>
    <row r="848">
      <c r="B848" s="1"/>
      <c r="C848" s="2"/>
      <c r="D848" s="3"/>
      <c r="E848" s="4"/>
      <c r="F848" s="5"/>
      <c r="G848" s="6"/>
      <c r="H848" s="7"/>
      <c r="P848" s="8"/>
      <c r="T848" s="9"/>
    </row>
    <row r="849">
      <c r="B849" s="1"/>
      <c r="C849" s="2"/>
      <c r="D849" s="3"/>
      <c r="E849" s="4"/>
      <c r="F849" s="5"/>
      <c r="G849" s="6"/>
      <c r="H849" s="7"/>
      <c r="P849" s="8"/>
      <c r="T849" s="9"/>
    </row>
    <row r="850">
      <c r="B850" s="1"/>
      <c r="C850" s="2"/>
      <c r="D850" s="3"/>
      <c r="E850" s="4"/>
      <c r="F850" s="5"/>
      <c r="G850" s="6"/>
      <c r="H850" s="7"/>
      <c r="P850" s="8"/>
      <c r="T850" s="9"/>
    </row>
    <row r="851">
      <c r="B851" s="1"/>
      <c r="C851" s="2"/>
      <c r="D851" s="3"/>
      <c r="E851" s="4"/>
      <c r="F851" s="5"/>
      <c r="G851" s="6"/>
      <c r="H851" s="7"/>
      <c r="P851" s="8"/>
      <c r="T851" s="9"/>
    </row>
    <row r="852">
      <c r="B852" s="1"/>
      <c r="C852" s="2"/>
      <c r="D852" s="3"/>
      <c r="E852" s="4"/>
      <c r="F852" s="5"/>
      <c r="G852" s="6"/>
      <c r="H852" s="7"/>
      <c r="P852" s="8"/>
      <c r="T852" s="9"/>
    </row>
    <row r="853">
      <c r="B853" s="1"/>
      <c r="C853" s="2"/>
      <c r="D853" s="3"/>
      <c r="E853" s="4"/>
      <c r="F853" s="5"/>
      <c r="G853" s="6"/>
      <c r="H853" s="7"/>
      <c r="P853" s="8"/>
      <c r="T853" s="9"/>
    </row>
    <row r="854">
      <c r="B854" s="1"/>
      <c r="C854" s="2"/>
      <c r="D854" s="3"/>
      <c r="E854" s="4"/>
      <c r="F854" s="5"/>
      <c r="G854" s="6"/>
      <c r="H854" s="7"/>
      <c r="P854" s="8"/>
      <c r="T854" s="9"/>
    </row>
    <row r="855">
      <c r="B855" s="1"/>
      <c r="C855" s="2"/>
      <c r="D855" s="3"/>
      <c r="E855" s="4"/>
      <c r="F855" s="5"/>
      <c r="G855" s="6"/>
      <c r="H855" s="7"/>
      <c r="P855" s="8"/>
      <c r="T855" s="9"/>
    </row>
    <row r="856">
      <c r="B856" s="1"/>
      <c r="C856" s="2"/>
      <c r="D856" s="3"/>
      <c r="E856" s="4"/>
      <c r="F856" s="5"/>
      <c r="G856" s="6"/>
      <c r="H856" s="7"/>
      <c r="P856" s="8"/>
      <c r="T856" s="9"/>
    </row>
    <row r="857">
      <c r="B857" s="1"/>
      <c r="C857" s="2"/>
      <c r="D857" s="3"/>
      <c r="E857" s="4"/>
      <c r="F857" s="5"/>
      <c r="G857" s="6"/>
      <c r="H857" s="7"/>
      <c r="P857" s="8"/>
      <c r="T857" s="9"/>
    </row>
    <row r="858">
      <c r="B858" s="1"/>
      <c r="C858" s="2"/>
      <c r="D858" s="3"/>
      <c r="E858" s="4"/>
      <c r="F858" s="5"/>
      <c r="G858" s="6"/>
      <c r="H858" s="7"/>
      <c r="P858" s="8"/>
      <c r="T858" s="9"/>
    </row>
    <row r="859">
      <c r="B859" s="1"/>
      <c r="C859" s="2"/>
      <c r="D859" s="3"/>
      <c r="E859" s="4"/>
      <c r="F859" s="5"/>
      <c r="G859" s="6"/>
      <c r="H859" s="7"/>
      <c r="P859" s="8"/>
      <c r="T859" s="9"/>
    </row>
    <row r="860">
      <c r="B860" s="1"/>
      <c r="C860" s="2"/>
      <c r="D860" s="3"/>
      <c r="E860" s="4"/>
      <c r="F860" s="5"/>
      <c r="G860" s="6"/>
      <c r="H860" s="7"/>
      <c r="P860" s="8"/>
      <c r="T860" s="9"/>
    </row>
    <row r="861">
      <c r="B861" s="1"/>
      <c r="C861" s="2"/>
      <c r="D861" s="3"/>
      <c r="E861" s="4"/>
      <c r="F861" s="5"/>
      <c r="G861" s="6"/>
      <c r="H861" s="7"/>
      <c r="P861" s="8"/>
      <c r="T861" s="9"/>
    </row>
    <row r="862">
      <c r="B862" s="1"/>
      <c r="C862" s="2"/>
      <c r="D862" s="3"/>
      <c r="E862" s="4"/>
      <c r="F862" s="5"/>
      <c r="G862" s="6"/>
      <c r="H862" s="7"/>
      <c r="P862" s="8"/>
      <c r="T862" s="9"/>
    </row>
    <row r="863">
      <c r="B863" s="1"/>
      <c r="C863" s="2"/>
      <c r="D863" s="3"/>
      <c r="E863" s="4"/>
      <c r="F863" s="5"/>
      <c r="G863" s="6"/>
      <c r="H863" s="7"/>
      <c r="P863" s="8"/>
      <c r="T863" s="9"/>
    </row>
    <row r="864">
      <c r="B864" s="1"/>
      <c r="C864" s="2"/>
      <c r="D864" s="3"/>
      <c r="E864" s="4"/>
      <c r="F864" s="5"/>
      <c r="G864" s="6"/>
      <c r="H864" s="7"/>
      <c r="P864" s="8"/>
      <c r="T864" s="9"/>
    </row>
    <row r="865">
      <c r="B865" s="1"/>
      <c r="C865" s="2"/>
      <c r="D865" s="3"/>
      <c r="E865" s="4"/>
      <c r="F865" s="5"/>
      <c r="G865" s="6"/>
      <c r="H865" s="7"/>
      <c r="P865" s="8"/>
      <c r="T865" s="9"/>
    </row>
    <row r="866">
      <c r="B866" s="1"/>
      <c r="C866" s="2"/>
      <c r="D866" s="3"/>
      <c r="E866" s="4"/>
      <c r="F866" s="5"/>
      <c r="G866" s="6"/>
      <c r="H866" s="7"/>
      <c r="P866" s="8"/>
      <c r="T866" s="9"/>
    </row>
    <row r="867">
      <c r="B867" s="1"/>
      <c r="C867" s="2"/>
      <c r="D867" s="3"/>
      <c r="E867" s="4"/>
      <c r="F867" s="5"/>
      <c r="G867" s="6"/>
      <c r="H867" s="7"/>
      <c r="P867" s="8"/>
      <c r="T867" s="9"/>
    </row>
    <row r="868">
      <c r="B868" s="1"/>
      <c r="C868" s="2"/>
      <c r="D868" s="3"/>
      <c r="E868" s="4"/>
      <c r="F868" s="5"/>
      <c r="G868" s="6"/>
      <c r="H868" s="7"/>
      <c r="P868" s="8"/>
      <c r="T868" s="9"/>
    </row>
    <row r="869">
      <c r="B869" s="1"/>
      <c r="C869" s="2"/>
      <c r="D869" s="3"/>
      <c r="E869" s="4"/>
      <c r="F869" s="5"/>
      <c r="G869" s="6"/>
      <c r="H869" s="7"/>
      <c r="P869" s="8"/>
      <c r="T869" s="9"/>
    </row>
    <row r="870">
      <c r="B870" s="1"/>
      <c r="C870" s="2"/>
      <c r="D870" s="3"/>
      <c r="E870" s="4"/>
      <c r="F870" s="5"/>
      <c r="G870" s="6"/>
      <c r="H870" s="7"/>
      <c r="P870" s="8"/>
      <c r="T870" s="9"/>
    </row>
    <row r="871">
      <c r="B871" s="1"/>
      <c r="C871" s="2"/>
      <c r="D871" s="3"/>
      <c r="E871" s="4"/>
      <c r="F871" s="5"/>
      <c r="G871" s="6"/>
      <c r="H871" s="7"/>
      <c r="P871" s="8"/>
      <c r="T871" s="9"/>
    </row>
    <row r="872">
      <c r="B872" s="1"/>
      <c r="C872" s="2"/>
      <c r="D872" s="3"/>
      <c r="E872" s="4"/>
      <c r="F872" s="5"/>
      <c r="G872" s="6"/>
      <c r="H872" s="7"/>
      <c r="P872" s="8"/>
      <c r="T872" s="9"/>
    </row>
    <row r="873">
      <c r="B873" s="1"/>
      <c r="C873" s="2"/>
      <c r="D873" s="3"/>
      <c r="E873" s="4"/>
      <c r="F873" s="5"/>
      <c r="G873" s="6"/>
      <c r="H873" s="7"/>
      <c r="P873" s="8"/>
      <c r="T873" s="9"/>
    </row>
    <row r="874">
      <c r="B874" s="1"/>
      <c r="C874" s="2"/>
      <c r="D874" s="3"/>
      <c r="E874" s="4"/>
      <c r="F874" s="5"/>
      <c r="G874" s="6"/>
      <c r="H874" s="7"/>
      <c r="P874" s="8"/>
      <c r="T874" s="9"/>
    </row>
    <row r="875">
      <c r="B875" s="1"/>
      <c r="C875" s="2"/>
      <c r="D875" s="3"/>
      <c r="E875" s="4"/>
      <c r="F875" s="5"/>
      <c r="G875" s="6"/>
      <c r="H875" s="7"/>
      <c r="P875" s="8"/>
      <c r="T875" s="9"/>
    </row>
    <row r="876">
      <c r="B876" s="1"/>
      <c r="C876" s="2"/>
      <c r="D876" s="3"/>
      <c r="E876" s="4"/>
      <c r="F876" s="5"/>
      <c r="G876" s="6"/>
      <c r="H876" s="7"/>
      <c r="P876" s="8"/>
      <c r="T876" s="9"/>
    </row>
    <row r="877">
      <c r="B877" s="1"/>
      <c r="C877" s="2"/>
      <c r="D877" s="3"/>
      <c r="E877" s="4"/>
      <c r="F877" s="5"/>
      <c r="G877" s="6"/>
      <c r="H877" s="7"/>
      <c r="P877" s="8"/>
      <c r="T877" s="9"/>
    </row>
    <row r="878">
      <c r="B878" s="1"/>
      <c r="C878" s="2"/>
      <c r="D878" s="3"/>
      <c r="E878" s="4"/>
      <c r="F878" s="5"/>
      <c r="G878" s="6"/>
      <c r="H878" s="7"/>
      <c r="P878" s="8"/>
      <c r="T878" s="9"/>
    </row>
    <row r="879">
      <c r="B879" s="1"/>
      <c r="C879" s="2"/>
      <c r="D879" s="3"/>
      <c r="E879" s="4"/>
      <c r="F879" s="5"/>
      <c r="G879" s="6"/>
      <c r="H879" s="7"/>
      <c r="P879" s="8"/>
      <c r="T879" s="9"/>
    </row>
    <row r="880">
      <c r="B880" s="1"/>
      <c r="C880" s="2"/>
      <c r="D880" s="3"/>
      <c r="E880" s="4"/>
      <c r="F880" s="5"/>
      <c r="G880" s="6"/>
      <c r="H880" s="7"/>
      <c r="P880" s="8"/>
      <c r="T880" s="9"/>
    </row>
    <row r="881">
      <c r="B881" s="1"/>
      <c r="C881" s="2"/>
      <c r="D881" s="3"/>
      <c r="E881" s="4"/>
      <c r="F881" s="5"/>
      <c r="G881" s="6"/>
      <c r="H881" s="7"/>
      <c r="P881" s="8"/>
      <c r="T881" s="9"/>
    </row>
    <row r="882">
      <c r="B882" s="1"/>
      <c r="C882" s="2"/>
      <c r="D882" s="3"/>
      <c r="E882" s="4"/>
      <c r="F882" s="5"/>
      <c r="G882" s="6"/>
      <c r="H882" s="7"/>
      <c r="P882" s="8"/>
      <c r="T882" s="9"/>
    </row>
    <row r="883">
      <c r="B883" s="1"/>
      <c r="C883" s="2"/>
      <c r="D883" s="3"/>
      <c r="E883" s="4"/>
      <c r="F883" s="5"/>
      <c r="G883" s="6"/>
      <c r="H883" s="7"/>
      <c r="P883" s="8"/>
      <c r="T883" s="9"/>
    </row>
    <row r="884">
      <c r="B884" s="1"/>
      <c r="C884" s="2"/>
      <c r="D884" s="3"/>
      <c r="E884" s="4"/>
      <c r="F884" s="5"/>
      <c r="G884" s="6"/>
      <c r="H884" s="7"/>
      <c r="P884" s="8"/>
      <c r="T884" s="9"/>
    </row>
    <row r="885">
      <c r="B885" s="1"/>
      <c r="C885" s="2"/>
      <c r="D885" s="3"/>
      <c r="E885" s="4"/>
      <c r="F885" s="5"/>
      <c r="G885" s="6"/>
      <c r="H885" s="7"/>
      <c r="P885" s="8"/>
      <c r="T885" s="9"/>
    </row>
    <row r="886">
      <c r="B886" s="1"/>
      <c r="C886" s="2"/>
      <c r="D886" s="3"/>
      <c r="E886" s="4"/>
      <c r="F886" s="5"/>
      <c r="G886" s="6"/>
      <c r="H886" s="7"/>
      <c r="P886" s="8"/>
      <c r="T886" s="9"/>
    </row>
    <row r="887">
      <c r="B887" s="1"/>
      <c r="C887" s="2"/>
      <c r="D887" s="3"/>
      <c r="E887" s="4"/>
      <c r="F887" s="5"/>
      <c r="G887" s="6"/>
      <c r="H887" s="7"/>
      <c r="P887" s="8"/>
      <c r="T887" s="9"/>
    </row>
    <row r="888">
      <c r="B888" s="1"/>
      <c r="C888" s="2"/>
      <c r="D888" s="3"/>
      <c r="E888" s="4"/>
      <c r="F888" s="5"/>
      <c r="G888" s="6"/>
      <c r="H888" s="7"/>
      <c r="P888" s="8"/>
      <c r="T888" s="9"/>
    </row>
    <row r="889">
      <c r="B889" s="1"/>
      <c r="C889" s="2"/>
      <c r="D889" s="3"/>
      <c r="E889" s="4"/>
      <c r="F889" s="5"/>
      <c r="G889" s="6"/>
      <c r="H889" s="7"/>
      <c r="P889" s="8"/>
      <c r="T889" s="9"/>
    </row>
    <row r="890">
      <c r="B890" s="1"/>
      <c r="C890" s="2"/>
      <c r="D890" s="3"/>
      <c r="E890" s="4"/>
      <c r="F890" s="5"/>
      <c r="G890" s="6"/>
      <c r="H890" s="7"/>
      <c r="P890" s="8"/>
      <c r="T890" s="9"/>
    </row>
    <row r="891">
      <c r="B891" s="1"/>
      <c r="C891" s="2"/>
      <c r="D891" s="3"/>
      <c r="E891" s="4"/>
      <c r="F891" s="5"/>
      <c r="G891" s="6"/>
      <c r="H891" s="7"/>
      <c r="P891" s="8"/>
      <c r="T891" s="9"/>
    </row>
    <row r="892">
      <c r="B892" s="1"/>
      <c r="C892" s="2"/>
      <c r="D892" s="3"/>
      <c r="E892" s="4"/>
      <c r="F892" s="5"/>
      <c r="G892" s="6"/>
      <c r="H892" s="7"/>
      <c r="P892" s="8"/>
      <c r="T892" s="9"/>
    </row>
    <row r="893">
      <c r="B893" s="1"/>
      <c r="C893" s="2"/>
      <c r="D893" s="3"/>
      <c r="E893" s="4"/>
      <c r="F893" s="5"/>
      <c r="G893" s="6"/>
      <c r="H893" s="7"/>
      <c r="P893" s="8"/>
      <c r="T893" s="9"/>
    </row>
    <row r="894">
      <c r="B894" s="1"/>
      <c r="C894" s="2"/>
      <c r="D894" s="3"/>
      <c r="E894" s="4"/>
      <c r="F894" s="5"/>
      <c r="G894" s="6"/>
      <c r="H894" s="7"/>
      <c r="P894" s="8"/>
      <c r="T894" s="9"/>
    </row>
    <row r="895">
      <c r="B895" s="1"/>
      <c r="C895" s="2"/>
      <c r="D895" s="3"/>
      <c r="E895" s="4"/>
      <c r="F895" s="5"/>
      <c r="G895" s="6"/>
      <c r="H895" s="7"/>
      <c r="P895" s="8"/>
      <c r="T895" s="9"/>
    </row>
    <row r="896">
      <c r="B896" s="1"/>
      <c r="C896" s="2"/>
      <c r="D896" s="3"/>
      <c r="E896" s="4"/>
      <c r="F896" s="5"/>
      <c r="G896" s="6"/>
      <c r="H896" s="7"/>
      <c r="P896" s="8"/>
      <c r="T896" s="9"/>
    </row>
    <row r="897">
      <c r="B897" s="1"/>
      <c r="C897" s="2"/>
      <c r="D897" s="3"/>
      <c r="E897" s="4"/>
      <c r="F897" s="5"/>
      <c r="G897" s="6"/>
      <c r="H897" s="7"/>
      <c r="P897" s="8"/>
      <c r="T897" s="9"/>
    </row>
    <row r="898">
      <c r="B898" s="1"/>
      <c r="C898" s="2"/>
      <c r="D898" s="3"/>
      <c r="E898" s="4"/>
      <c r="F898" s="5"/>
      <c r="G898" s="6"/>
      <c r="H898" s="7"/>
      <c r="P898" s="8"/>
      <c r="T898" s="9"/>
    </row>
    <row r="899">
      <c r="B899" s="1"/>
      <c r="C899" s="2"/>
      <c r="D899" s="3"/>
      <c r="E899" s="4"/>
      <c r="F899" s="5"/>
      <c r="G899" s="6"/>
      <c r="H899" s="7"/>
      <c r="P899" s="8"/>
      <c r="T899" s="9"/>
    </row>
    <row r="900">
      <c r="B900" s="1"/>
      <c r="C900" s="2"/>
      <c r="D900" s="3"/>
      <c r="E900" s="4"/>
      <c r="F900" s="5"/>
      <c r="G900" s="6"/>
      <c r="H900" s="7"/>
      <c r="P900" s="8"/>
      <c r="T900" s="9"/>
    </row>
    <row r="901">
      <c r="B901" s="1"/>
      <c r="C901" s="2"/>
      <c r="D901" s="3"/>
      <c r="E901" s="4"/>
      <c r="F901" s="5"/>
      <c r="G901" s="6"/>
      <c r="H901" s="7"/>
      <c r="P901" s="8"/>
      <c r="T901" s="9"/>
    </row>
    <row r="902">
      <c r="B902" s="1"/>
      <c r="C902" s="2"/>
      <c r="D902" s="3"/>
      <c r="E902" s="4"/>
      <c r="F902" s="5"/>
      <c r="G902" s="6"/>
      <c r="H902" s="7"/>
      <c r="P902" s="8"/>
      <c r="T902" s="9"/>
    </row>
    <row r="903">
      <c r="B903" s="1"/>
      <c r="C903" s="2"/>
      <c r="D903" s="3"/>
      <c r="E903" s="4"/>
      <c r="F903" s="5"/>
      <c r="G903" s="6"/>
      <c r="H903" s="7"/>
      <c r="P903" s="8"/>
      <c r="T903" s="9"/>
    </row>
    <row r="904">
      <c r="B904" s="1"/>
      <c r="C904" s="2"/>
      <c r="D904" s="3"/>
      <c r="E904" s="4"/>
      <c r="F904" s="5"/>
      <c r="G904" s="6"/>
      <c r="H904" s="7"/>
      <c r="P904" s="8"/>
      <c r="T904" s="9"/>
    </row>
    <row r="905">
      <c r="B905" s="1"/>
      <c r="C905" s="2"/>
      <c r="D905" s="3"/>
      <c r="E905" s="4"/>
      <c r="F905" s="5"/>
      <c r="G905" s="6"/>
      <c r="H905" s="7"/>
      <c r="P905" s="8"/>
      <c r="T905" s="9"/>
    </row>
    <row r="906">
      <c r="B906" s="1"/>
      <c r="C906" s="2"/>
      <c r="D906" s="3"/>
      <c r="E906" s="4"/>
      <c r="F906" s="5"/>
      <c r="G906" s="6"/>
      <c r="H906" s="7"/>
      <c r="P906" s="8"/>
      <c r="T906" s="9"/>
    </row>
    <row r="907">
      <c r="B907" s="1"/>
      <c r="C907" s="2"/>
      <c r="D907" s="3"/>
      <c r="E907" s="4"/>
      <c r="F907" s="5"/>
      <c r="G907" s="6"/>
      <c r="H907" s="7"/>
      <c r="P907" s="8"/>
      <c r="T907" s="9"/>
    </row>
    <row r="908">
      <c r="B908" s="1"/>
      <c r="C908" s="2"/>
      <c r="D908" s="3"/>
      <c r="E908" s="4"/>
      <c r="F908" s="5"/>
      <c r="G908" s="6"/>
      <c r="H908" s="7"/>
      <c r="P908" s="8"/>
      <c r="T908" s="9"/>
    </row>
    <row r="909">
      <c r="B909" s="1"/>
      <c r="C909" s="2"/>
      <c r="D909" s="3"/>
      <c r="E909" s="4"/>
      <c r="F909" s="5"/>
      <c r="G909" s="6"/>
      <c r="H909" s="7"/>
      <c r="P909" s="8"/>
      <c r="T909" s="9"/>
    </row>
    <row r="910">
      <c r="B910" s="1"/>
      <c r="C910" s="2"/>
      <c r="D910" s="3"/>
      <c r="E910" s="4"/>
      <c r="F910" s="5"/>
      <c r="G910" s="6"/>
      <c r="H910" s="7"/>
      <c r="P910" s="8"/>
      <c r="T910" s="9"/>
    </row>
    <row r="911">
      <c r="B911" s="1"/>
      <c r="C911" s="2"/>
      <c r="D911" s="3"/>
      <c r="E911" s="4"/>
      <c r="F911" s="5"/>
      <c r="G911" s="6"/>
      <c r="H911" s="7"/>
      <c r="P911" s="8"/>
      <c r="T911" s="9"/>
    </row>
    <row r="912">
      <c r="B912" s="1"/>
      <c r="C912" s="2"/>
      <c r="D912" s="3"/>
      <c r="E912" s="4"/>
      <c r="F912" s="5"/>
      <c r="G912" s="6"/>
      <c r="H912" s="7"/>
      <c r="P912" s="8"/>
      <c r="T912" s="9"/>
    </row>
    <row r="913">
      <c r="B913" s="1"/>
      <c r="C913" s="2"/>
      <c r="D913" s="3"/>
      <c r="E913" s="4"/>
      <c r="F913" s="5"/>
      <c r="G913" s="6"/>
      <c r="H913" s="7"/>
      <c r="P913" s="8"/>
      <c r="T913" s="9"/>
    </row>
    <row r="914">
      <c r="B914" s="1"/>
      <c r="C914" s="2"/>
      <c r="D914" s="3"/>
      <c r="E914" s="4"/>
      <c r="F914" s="5"/>
      <c r="G914" s="6"/>
      <c r="H914" s="7"/>
      <c r="P914" s="8"/>
      <c r="T914" s="9"/>
    </row>
    <row r="915">
      <c r="B915" s="1"/>
      <c r="C915" s="2"/>
      <c r="D915" s="3"/>
      <c r="E915" s="4"/>
      <c r="F915" s="5"/>
      <c r="G915" s="6"/>
      <c r="H915" s="7"/>
      <c r="P915" s="8"/>
      <c r="T915" s="9"/>
    </row>
    <row r="916">
      <c r="B916" s="1"/>
      <c r="C916" s="2"/>
      <c r="D916" s="3"/>
      <c r="E916" s="4"/>
      <c r="F916" s="5"/>
      <c r="G916" s="6"/>
      <c r="H916" s="7"/>
      <c r="P916" s="8"/>
      <c r="T916" s="9"/>
    </row>
    <row r="917">
      <c r="B917" s="1"/>
      <c r="C917" s="2"/>
      <c r="D917" s="3"/>
      <c r="E917" s="4"/>
      <c r="F917" s="5"/>
      <c r="G917" s="6"/>
      <c r="H917" s="7"/>
      <c r="P917" s="8"/>
      <c r="T917" s="9"/>
    </row>
    <row r="918">
      <c r="B918" s="1"/>
      <c r="C918" s="2"/>
      <c r="D918" s="3"/>
      <c r="E918" s="4"/>
      <c r="F918" s="5"/>
      <c r="G918" s="6"/>
      <c r="H918" s="7"/>
      <c r="P918" s="8"/>
      <c r="T918" s="9"/>
    </row>
    <row r="919">
      <c r="B919" s="1"/>
      <c r="C919" s="2"/>
      <c r="D919" s="3"/>
      <c r="E919" s="4"/>
      <c r="F919" s="5"/>
      <c r="G919" s="6"/>
      <c r="H919" s="7"/>
      <c r="P919" s="8"/>
      <c r="T919" s="9"/>
    </row>
    <row r="920">
      <c r="B920" s="1"/>
      <c r="C920" s="2"/>
      <c r="D920" s="3"/>
      <c r="E920" s="4"/>
      <c r="F920" s="5"/>
      <c r="G920" s="6"/>
      <c r="H920" s="7"/>
      <c r="P920" s="8"/>
      <c r="T920" s="9"/>
    </row>
    <row r="921">
      <c r="B921" s="1"/>
      <c r="C921" s="2"/>
      <c r="D921" s="3"/>
      <c r="E921" s="4"/>
      <c r="F921" s="5"/>
      <c r="G921" s="6"/>
      <c r="H921" s="7"/>
      <c r="P921" s="8"/>
      <c r="T921" s="9"/>
    </row>
    <row r="922">
      <c r="B922" s="1"/>
      <c r="C922" s="2"/>
      <c r="D922" s="3"/>
      <c r="E922" s="4"/>
      <c r="F922" s="5"/>
      <c r="G922" s="6"/>
      <c r="H922" s="7"/>
      <c r="P922" s="8"/>
      <c r="T922" s="9"/>
    </row>
    <row r="923">
      <c r="B923" s="1"/>
      <c r="C923" s="2"/>
      <c r="D923" s="3"/>
      <c r="E923" s="4"/>
      <c r="F923" s="5"/>
      <c r="G923" s="6"/>
      <c r="H923" s="7"/>
      <c r="P923" s="8"/>
      <c r="T923" s="9"/>
    </row>
    <row r="924">
      <c r="B924" s="1"/>
      <c r="C924" s="2"/>
      <c r="D924" s="3"/>
      <c r="E924" s="4"/>
      <c r="F924" s="5"/>
      <c r="G924" s="6"/>
      <c r="H924" s="7"/>
      <c r="P924" s="8"/>
      <c r="T924" s="9"/>
    </row>
    <row r="925">
      <c r="B925" s="1"/>
      <c r="C925" s="2"/>
      <c r="D925" s="3"/>
      <c r="E925" s="4"/>
      <c r="F925" s="5"/>
      <c r="G925" s="6"/>
      <c r="H925" s="7"/>
      <c r="P925" s="8"/>
      <c r="T925" s="9"/>
    </row>
    <row r="926">
      <c r="B926" s="1"/>
      <c r="C926" s="2"/>
      <c r="D926" s="3"/>
      <c r="E926" s="4"/>
      <c r="F926" s="5"/>
      <c r="G926" s="6"/>
      <c r="H926" s="7"/>
      <c r="P926" s="8"/>
      <c r="T926" s="9"/>
    </row>
    <row r="927">
      <c r="B927" s="1"/>
      <c r="C927" s="2"/>
      <c r="D927" s="3"/>
      <c r="E927" s="4"/>
      <c r="F927" s="5"/>
      <c r="G927" s="6"/>
      <c r="H927" s="7"/>
      <c r="P927" s="8"/>
      <c r="T927" s="9"/>
    </row>
    <row r="928">
      <c r="B928" s="1"/>
      <c r="C928" s="2"/>
      <c r="D928" s="3"/>
      <c r="E928" s="4"/>
      <c r="F928" s="5"/>
      <c r="G928" s="6"/>
      <c r="H928" s="7"/>
      <c r="P928" s="8"/>
      <c r="T928" s="9"/>
    </row>
    <row r="929">
      <c r="B929" s="1"/>
      <c r="C929" s="2"/>
      <c r="D929" s="3"/>
      <c r="E929" s="4"/>
      <c r="F929" s="5"/>
      <c r="G929" s="6"/>
      <c r="H929" s="7"/>
      <c r="P929" s="8"/>
      <c r="T929" s="9"/>
    </row>
    <row r="930">
      <c r="B930" s="1"/>
      <c r="C930" s="2"/>
      <c r="D930" s="3"/>
      <c r="E930" s="4"/>
      <c r="F930" s="5"/>
      <c r="G930" s="6"/>
      <c r="H930" s="7"/>
      <c r="P930" s="8"/>
      <c r="T930" s="9"/>
    </row>
    <row r="931">
      <c r="B931" s="1"/>
      <c r="C931" s="2"/>
      <c r="D931" s="3"/>
      <c r="E931" s="4"/>
      <c r="F931" s="5"/>
      <c r="G931" s="6"/>
      <c r="H931" s="7"/>
      <c r="P931" s="8"/>
      <c r="T931" s="9"/>
    </row>
    <row r="932">
      <c r="B932" s="1"/>
      <c r="C932" s="2"/>
      <c r="D932" s="3"/>
      <c r="E932" s="4"/>
      <c r="F932" s="5"/>
      <c r="G932" s="6"/>
      <c r="H932" s="7"/>
      <c r="P932" s="8"/>
      <c r="T932" s="9"/>
    </row>
    <row r="933">
      <c r="B933" s="1"/>
      <c r="C933" s="2"/>
      <c r="D933" s="3"/>
      <c r="E933" s="4"/>
      <c r="F933" s="5"/>
      <c r="G933" s="6"/>
      <c r="H933" s="7"/>
      <c r="P933" s="8"/>
      <c r="T933" s="9"/>
    </row>
    <row r="934">
      <c r="B934" s="1"/>
      <c r="C934" s="2"/>
      <c r="D934" s="3"/>
      <c r="E934" s="4"/>
      <c r="F934" s="5"/>
      <c r="G934" s="6"/>
      <c r="H934" s="7"/>
      <c r="P934" s="8"/>
      <c r="T934" s="9"/>
    </row>
    <row r="935">
      <c r="B935" s="1"/>
      <c r="C935" s="2"/>
      <c r="D935" s="3"/>
      <c r="E935" s="4"/>
      <c r="F935" s="5"/>
      <c r="G935" s="6"/>
      <c r="H935" s="7"/>
      <c r="P935" s="8"/>
      <c r="T935" s="9"/>
    </row>
    <row r="936">
      <c r="B936" s="1"/>
      <c r="C936" s="2"/>
      <c r="D936" s="3"/>
      <c r="E936" s="4"/>
      <c r="F936" s="5"/>
      <c r="G936" s="6"/>
      <c r="H936" s="7"/>
      <c r="P936" s="8"/>
      <c r="T936" s="9"/>
    </row>
    <row r="937">
      <c r="B937" s="1"/>
      <c r="C937" s="2"/>
      <c r="D937" s="3"/>
      <c r="E937" s="4"/>
      <c r="F937" s="5"/>
      <c r="G937" s="6"/>
      <c r="H937" s="7"/>
      <c r="P937" s="8"/>
      <c r="T937" s="9"/>
    </row>
    <row r="938">
      <c r="B938" s="1"/>
      <c r="C938" s="2"/>
      <c r="D938" s="3"/>
      <c r="E938" s="4"/>
      <c r="F938" s="5"/>
      <c r="G938" s="6"/>
      <c r="H938" s="7"/>
      <c r="P938" s="8"/>
      <c r="T938" s="9"/>
    </row>
    <row r="939">
      <c r="B939" s="1"/>
      <c r="C939" s="2"/>
      <c r="D939" s="3"/>
      <c r="E939" s="4"/>
      <c r="F939" s="5"/>
      <c r="G939" s="6"/>
      <c r="H939" s="7"/>
      <c r="P939" s="8"/>
      <c r="T939" s="9"/>
    </row>
    <row r="940">
      <c r="B940" s="1"/>
      <c r="C940" s="2"/>
      <c r="D940" s="3"/>
      <c r="E940" s="4"/>
      <c r="F940" s="5"/>
      <c r="G940" s="6"/>
      <c r="H940" s="7"/>
      <c r="P940" s="8"/>
      <c r="T940" s="9"/>
    </row>
    <row r="941">
      <c r="B941" s="1"/>
      <c r="C941" s="2"/>
      <c r="D941" s="3"/>
      <c r="E941" s="4"/>
      <c r="F941" s="5"/>
      <c r="G941" s="6"/>
      <c r="H941" s="7"/>
      <c r="P941" s="8"/>
      <c r="T941" s="9"/>
    </row>
    <row r="942">
      <c r="B942" s="1"/>
      <c r="C942" s="2"/>
      <c r="D942" s="3"/>
      <c r="E942" s="4"/>
      <c r="F942" s="5"/>
      <c r="G942" s="6"/>
      <c r="H942" s="7"/>
      <c r="P942" s="8"/>
      <c r="T942" s="9"/>
    </row>
    <row r="943">
      <c r="B943" s="1"/>
      <c r="C943" s="2"/>
      <c r="D943" s="3"/>
      <c r="E943" s="4"/>
      <c r="F943" s="5"/>
      <c r="G943" s="6"/>
      <c r="H943" s="7"/>
      <c r="P943" s="8"/>
      <c r="T943" s="9"/>
    </row>
    <row r="944">
      <c r="B944" s="1"/>
      <c r="C944" s="2"/>
      <c r="D944" s="3"/>
      <c r="E944" s="4"/>
      <c r="F944" s="5"/>
      <c r="G944" s="6"/>
      <c r="H944" s="7"/>
      <c r="P944" s="8"/>
      <c r="T944" s="9"/>
    </row>
    <row r="945">
      <c r="B945" s="1"/>
      <c r="C945" s="2"/>
      <c r="D945" s="3"/>
      <c r="E945" s="4"/>
      <c r="F945" s="5"/>
      <c r="G945" s="6"/>
      <c r="H945" s="7"/>
      <c r="P945" s="8"/>
      <c r="T945" s="9"/>
    </row>
    <row r="946">
      <c r="B946" s="1"/>
      <c r="C946" s="2"/>
      <c r="D946" s="3"/>
      <c r="E946" s="4"/>
      <c r="F946" s="5"/>
      <c r="G946" s="6"/>
      <c r="H946" s="7"/>
      <c r="P946" s="8"/>
      <c r="T946" s="9"/>
    </row>
    <row r="947">
      <c r="B947" s="1"/>
      <c r="C947" s="2"/>
      <c r="D947" s="3"/>
      <c r="E947" s="4"/>
      <c r="F947" s="5"/>
      <c r="G947" s="6"/>
      <c r="H947" s="7"/>
      <c r="P947" s="8"/>
      <c r="T947" s="9"/>
    </row>
    <row r="948">
      <c r="B948" s="1"/>
      <c r="C948" s="2"/>
      <c r="D948" s="3"/>
      <c r="E948" s="4"/>
      <c r="F948" s="5"/>
      <c r="G948" s="6"/>
      <c r="H948" s="7"/>
      <c r="P948" s="8"/>
      <c r="T948" s="9"/>
    </row>
    <row r="949">
      <c r="B949" s="1"/>
      <c r="C949" s="2"/>
      <c r="D949" s="3"/>
      <c r="E949" s="4"/>
      <c r="F949" s="5"/>
      <c r="G949" s="6"/>
      <c r="H949" s="7"/>
      <c r="P949" s="8"/>
      <c r="T949" s="9"/>
    </row>
    <row r="950">
      <c r="B950" s="1"/>
      <c r="C950" s="2"/>
      <c r="D950" s="3"/>
      <c r="E950" s="4"/>
      <c r="F950" s="5"/>
      <c r="G950" s="6"/>
      <c r="H950" s="7"/>
      <c r="P950" s="8"/>
      <c r="T950" s="9"/>
    </row>
    <row r="951">
      <c r="B951" s="1"/>
      <c r="C951" s="2"/>
      <c r="D951" s="3"/>
      <c r="E951" s="4"/>
      <c r="F951" s="5"/>
      <c r="G951" s="6"/>
      <c r="H951" s="7"/>
      <c r="P951" s="8"/>
      <c r="T951" s="9"/>
    </row>
    <row r="952">
      <c r="B952" s="1"/>
      <c r="C952" s="2"/>
      <c r="D952" s="3"/>
      <c r="E952" s="4"/>
      <c r="F952" s="5"/>
      <c r="G952" s="6"/>
      <c r="H952" s="7"/>
      <c r="P952" s="8"/>
      <c r="T952" s="9"/>
    </row>
    <row r="953">
      <c r="B953" s="1"/>
      <c r="C953" s="2"/>
      <c r="D953" s="3"/>
      <c r="E953" s="4"/>
      <c r="F953" s="5"/>
      <c r="G953" s="6"/>
      <c r="H953" s="7"/>
      <c r="P953" s="8"/>
      <c r="T953" s="9"/>
    </row>
    <row r="954">
      <c r="B954" s="1"/>
      <c r="C954" s="2"/>
      <c r="D954" s="3"/>
      <c r="E954" s="4"/>
      <c r="F954" s="5"/>
      <c r="G954" s="6"/>
      <c r="H954" s="7"/>
      <c r="P954" s="8"/>
      <c r="T954" s="9"/>
    </row>
    <row r="955">
      <c r="B955" s="1"/>
      <c r="C955" s="2"/>
      <c r="D955" s="3"/>
      <c r="E955" s="4"/>
      <c r="F955" s="5"/>
      <c r="G955" s="6"/>
      <c r="H955" s="7"/>
      <c r="P955" s="8"/>
      <c r="T955" s="9"/>
    </row>
    <row r="956">
      <c r="B956" s="1"/>
      <c r="C956" s="2"/>
      <c r="D956" s="3"/>
      <c r="E956" s="4"/>
      <c r="F956" s="5"/>
      <c r="G956" s="6"/>
      <c r="H956" s="7"/>
      <c r="P956" s="8"/>
      <c r="T956" s="9"/>
    </row>
    <row r="957">
      <c r="B957" s="1"/>
      <c r="C957" s="2"/>
      <c r="D957" s="3"/>
      <c r="E957" s="4"/>
      <c r="F957" s="5"/>
      <c r="G957" s="6"/>
      <c r="H957" s="7"/>
      <c r="P957" s="8"/>
      <c r="T957" s="9"/>
    </row>
    <row r="958">
      <c r="B958" s="1"/>
      <c r="C958" s="2"/>
      <c r="D958" s="3"/>
      <c r="E958" s="4"/>
      <c r="F958" s="5"/>
      <c r="G958" s="6"/>
      <c r="H958" s="7"/>
      <c r="P958" s="8"/>
      <c r="T958" s="9"/>
    </row>
    <row r="959">
      <c r="B959" s="1"/>
      <c r="C959" s="2"/>
      <c r="D959" s="3"/>
      <c r="E959" s="4"/>
      <c r="F959" s="5"/>
      <c r="G959" s="6"/>
      <c r="H959" s="7"/>
      <c r="P959" s="8"/>
      <c r="T959" s="9"/>
    </row>
    <row r="960">
      <c r="B960" s="1"/>
      <c r="C960" s="2"/>
      <c r="D960" s="3"/>
      <c r="E960" s="4"/>
      <c r="F960" s="5"/>
      <c r="G960" s="6"/>
      <c r="H960" s="7"/>
      <c r="P960" s="8"/>
      <c r="T960" s="9"/>
    </row>
    <row r="961">
      <c r="B961" s="1"/>
      <c r="C961" s="2"/>
      <c r="D961" s="3"/>
      <c r="E961" s="4"/>
      <c r="F961" s="5"/>
      <c r="G961" s="6"/>
      <c r="H961" s="7"/>
      <c r="P961" s="8"/>
      <c r="T961" s="9"/>
    </row>
    <row r="962">
      <c r="B962" s="1"/>
      <c r="C962" s="2"/>
      <c r="D962" s="3"/>
      <c r="E962" s="4"/>
      <c r="F962" s="5"/>
      <c r="G962" s="6"/>
      <c r="H962" s="7"/>
      <c r="P962" s="8"/>
      <c r="T962" s="9"/>
    </row>
    <row r="963">
      <c r="B963" s="1"/>
      <c r="C963" s="2"/>
      <c r="D963" s="3"/>
      <c r="E963" s="4"/>
      <c r="F963" s="5"/>
      <c r="G963" s="6"/>
      <c r="H963" s="7"/>
      <c r="P963" s="8"/>
      <c r="T963" s="9"/>
    </row>
    <row r="964">
      <c r="B964" s="1"/>
      <c r="C964" s="2"/>
      <c r="D964" s="3"/>
      <c r="E964" s="4"/>
      <c r="F964" s="5"/>
      <c r="G964" s="6"/>
      <c r="H964" s="7"/>
      <c r="P964" s="8"/>
      <c r="T964" s="9"/>
    </row>
    <row r="965">
      <c r="B965" s="1"/>
      <c r="C965" s="2"/>
      <c r="D965" s="3"/>
      <c r="E965" s="4"/>
      <c r="F965" s="5"/>
      <c r="G965" s="6"/>
      <c r="H965" s="7"/>
      <c r="P965" s="8"/>
      <c r="T965" s="9"/>
    </row>
    <row r="966">
      <c r="B966" s="1"/>
      <c r="C966" s="2"/>
      <c r="D966" s="3"/>
      <c r="E966" s="4"/>
      <c r="F966" s="5"/>
      <c r="G966" s="6"/>
      <c r="H966" s="7"/>
      <c r="P966" s="8"/>
      <c r="T966" s="9"/>
    </row>
    <row r="967">
      <c r="B967" s="1"/>
      <c r="C967" s="2"/>
      <c r="D967" s="3"/>
      <c r="E967" s="4"/>
      <c r="F967" s="5"/>
      <c r="G967" s="6"/>
      <c r="H967" s="7"/>
      <c r="P967" s="8"/>
      <c r="T967" s="9"/>
    </row>
    <row r="968">
      <c r="B968" s="1"/>
      <c r="C968" s="2"/>
      <c r="D968" s="3"/>
      <c r="E968" s="4"/>
      <c r="F968" s="5"/>
      <c r="G968" s="6"/>
      <c r="H968" s="7"/>
      <c r="P968" s="8"/>
      <c r="T968" s="9"/>
    </row>
    <row r="969">
      <c r="B969" s="1"/>
      <c r="C969" s="2"/>
      <c r="D969" s="3"/>
      <c r="E969" s="4"/>
      <c r="F969" s="5"/>
      <c r="G969" s="6"/>
      <c r="H969" s="7"/>
      <c r="P969" s="8"/>
      <c r="T969" s="9"/>
    </row>
    <row r="970">
      <c r="B970" s="1"/>
      <c r="C970" s="2"/>
      <c r="D970" s="3"/>
      <c r="E970" s="4"/>
      <c r="F970" s="5"/>
      <c r="G970" s="6"/>
      <c r="H970" s="7"/>
      <c r="P970" s="8"/>
      <c r="T970" s="9"/>
    </row>
    <row r="971">
      <c r="B971" s="1"/>
      <c r="C971" s="2"/>
      <c r="D971" s="3"/>
      <c r="E971" s="4"/>
      <c r="F971" s="5"/>
      <c r="G971" s="6"/>
      <c r="H971" s="7"/>
      <c r="P971" s="8"/>
      <c r="T971" s="9"/>
    </row>
    <row r="972">
      <c r="B972" s="1"/>
      <c r="C972" s="2"/>
      <c r="D972" s="3"/>
      <c r="E972" s="4"/>
      <c r="F972" s="5"/>
      <c r="G972" s="6"/>
      <c r="H972" s="7"/>
      <c r="P972" s="8"/>
      <c r="T972" s="9"/>
    </row>
    <row r="973">
      <c r="B973" s="1"/>
      <c r="C973" s="2"/>
      <c r="D973" s="3"/>
      <c r="E973" s="4"/>
      <c r="F973" s="5"/>
      <c r="G973" s="6"/>
      <c r="H973" s="7"/>
      <c r="P973" s="8"/>
      <c r="T973" s="9"/>
    </row>
    <row r="974">
      <c r="B974" s="1"/>
      <c r="C974" s="2"/>
      <c r="D974" s="3"/>
      <c r="E974" s="4"/>
      <c r="F974" s="5"/>
      <c r="G974" s="6"/>
      <c r="H974" s="7"/>
      <c r="P974" s="8"/>
      <c r="T974" s="9"/>
    </row>
    <row r="975">
      <c r="B975" s="1"/>
      <c r="C975" s="2"/>
      <c r="D975" s="3"/>
      <c r="E975" s="4"/>
      <c r="F975" s="5"/>
      <c r="G975" s="6"/>
      <c r="H975" s="7"/>
      <c r="P975" s="8"/>
      <c r="T975" s="9"/>
    </row>
    <row r="976">
      <c r="B976" s="1"/>
      <c r="C976" s="2"/>
      <c r="D976" s="3"/>
      <c r="E976" s="4"/>
      <c r="F976" s="5"/>
      <c r="G976" s="6"/>
      <c r="H976" s="7"/>
      <c r="P976" s="8"/>
      <c r="T976" s="9"/>
    </row>
    <row r="977">
      <c r="B977" s="1"/>
      <c r="C977" s="2"/>
      <c r="D977" s="3"/>
      <c r="E977" s="4"/>
      <c r="F977" s="5"/>
      <c r="G977" s="6"/>
      <c r="H977" s="7"/>
      <c r="P977" s="8"/>
      <c r="T977" s="9"/>
    </row>
    <row r="978">
      <c r="B978" s="1"/>
      <c r="C978" s="2"/>
      <c r="D978" s="3"/>
      <c r="E978" s="4"/>
      <c r="F978" s="5"/>
      <c r="G978" s="6"/>
      <c r="H978" s="7"/>
      <c r="P978" s="8"/>
      <c r="T978" s="9"/>
    </row>
    <row r="979">
      <c r="B979" s="1"/>
      <c r="C979" s="2"/>
      <c r="D979" s="3"/>
      <c r="E979" s="4"/>
      <c r="F979" s="5"/>
      <c r="G979" s="6"/>
      <c r="H979" s="7"/>
      <c r="P979" s="8"/>
      <c r="T979" s="9"/>
    </row>
    <row r="980">
      <c r="B980" s="1"/>
      <c r="C980" s="2"/>
      <c r="D980" s="3"/>
      <c r="E980" s="4"/>
      <c r="F980" s="5"/>
      <c r="G980" s="6"/>
      <c r="H980" s="7"/>
      <c r="P980" s="8"/>
      <c r="T980" s="9"/>
    </row>
    <row r="981">
      <c r="B981" s="1"/>
      <c r="C981" s="2"/>
      <c r="D981" s="3"/>
      <c r="E981" s="4"/>
      <c r="F981" s="5"/>
      <c r="G981" s="6"/>
      <c r="H981" s="7"/>
      <c r="P981" s="8"/>
      <c r="T981" s="9"/>
    </row>
    <row r="982">
      <c r="B982" s="1"/>
      <c r="C982" s="2"/>
      <c r="D982" s="3"/>
      <c r="E982" s="4"/>
      <c r="F982" s="5"/>
      <c r="G982" s="6"/>
      <c r="H982" s="7"/>
      <c r="P982" s="8"/>
      <c r="T982" s="9"/>
    </row>
    <row r="983">
      <c r="B983" s="1"/>
      <c r="C983" s="2"/>
      <c r="D983" s="3"/>
      <c r="E983" s="4"/>
      <c r="F983" s="5"/>
      <c r="G983" s="6"/>
      <c r="H983" s="7"/>
      <c r="P983" s="8"/>
      <c r="T983" s="9"/>
    </row>
    <row r="984">
      <c r="B984" s="1"/>
      <c r="C984" s="2"/>
      <c r="D984" s="3"/>
      <c r="E984" s="4"/>
      <c r="F984" s="5"/>
      <c r="G984" s="6"/>
      <c r="H984" s="7"/>
      <c r="P984" s="8"/>
      <c r="T984" s="9"/>
    </row>
    <row r="985">
      <c r="B985" s="1"/>
      <c r="C985" s="2"/>
      <c r="D985" s="3"/>
      <c r="E985" s="4"/>
      <c r="F985" s="5"/>
      <c r="G985" s="6"/>
      <c r="H985" s="7"/>
      <c r="P985" s="8"/>
      <c r="T985" s="9"/>
    </row>
    <row r="986">
      <c r="B986" s="1"/>
      <c r="C986" s="2"/>
      <c r="D986" s="3"/>
      <c r="E986" s="4"/>
      <c r="F986" s="5"/>
      <c r="G986" s="6"/>
      <c r="H986" s="7"/>
      <c r="P986" s="8"/>
      <c r="T986" s="9"/>
    </row>
    <row r="987">
      <c r="B987" s="1"/>
      <c r="C987" s="2"/>
      <c r="D987" s="3"/>
      <c r="E987" s="4"/>
      <c r="F987" s="5"/>
      <c r="G987" s="6"/>
      <c r="H987" s="7"/>
      <c r="P987" s="8"/>
      <c r="T987" s="9"/>
    </row>
    <row r="988">
      <c r="B988" s="1"/>
      <c r="C988" s="2"/>
      <c r="D988" s="3"/>
      <c r="E988" s="4"/>
      <c r="F988" s="5"/>
      <c r="G988" s="6"/>
      <c r="H988" s="7"/>
      <c r="P988" s="8"/>
      <c r="T988" s="9"/>
    </row>
    <row r="989">
      <c r="B989" s="1"/>
      <c r="C989" s="2"/>
      <c r="D989" s="3"/>
      <c r="E989" s="4"/>
      <c r="F989" s="5"/>
      <c r="G989" s="6"/>
      <c r="H989" s="7"/>
      <c r="P989" s="8"/>
      <c r="T989" s="9"/>
    </row>
    <row r="990">
      <c r="B990" s="1"/>
      <c r="C990" s="2"/>
      <c r="D990" s="3"/>
      <c r="E990" s="4"/>
      <c r="F990" s="5"/>
      <c r="G990" s="6"/>
      <c r="H990" s="7"/>
      <c r="P990" s="8"/>
      <c r="T990" s="9"/>
    </row>
    <row r="991">
      <c r="B991" s="1"/>
      <c r="C991" s="2"/>
      <c r="D991" s="3"/>
      <c r="E991" s="4"/>
      <c r="F991" s="5"/>
      <c r="G991" s="6"/>
      <c r="H991" s="7"/>
      <c r="P991" s="8"/>
      <c r="T991" s="9"/>
    </row>
    <row r="992">
      <c r="B992" s="1"/>
      <c r="C992" s="2"/>
      <c r="D992" s="3"/>
      <c r="E992" s="4"/>
      <c r="F992" s="5"/>
      <c r="G992" s="6"/>
      <c r="H992" s="7"/>
      <c r="P992" s="8"/>
      <c r="T992" s="9"/>
    </row>
    <row r="993">
      <c r="B993" s="1"/>
      <c r="C993" s="2"/>
      <c r="D993" s="3"/>
      <c r="E993" s="4"/>
      <c r="F993" s="5"/>
      <c r="G993" s="6"/>
      <c r="H993" s="7"/>
      <c r="P993" s="8"/>
      <c r="T993" s="9"/>
    </row>
    <row r="994">
      <c r="B994" s="1"/>
      <c r="C994" s="2"/>
      <c r="D994" s="3"/>
      <c r="E994" s="4"/>
      <c r="F994" s="5"/>
      <c r="G994" s="6"/>
      <c r="H994" s="7"/>
      <c r="P994" s="8"/>
      <c r="T994" s="9"/>
    </row>
    <row r="995">
      <c r="B995" s="1"/>
      <c r="C995" s="2"/>
      <c r="D995" s="3"/>
      <c r="E995" s="4"/>
      <c r="F995" s="5"/>
      <c r="G995" s="6"/>
      <c r="H995" s="7"/>
      <c r="P995" s="8"/>
      <c r="T995" s="9"/>
    </row>
    <row r="996">
      <c r="B996" s="1"/>
      <c r="C996" s="2"/>
      <c r="D996" s="3"/>
      <c r="E996" s="4"/>
      <c r="F996" s="5"/>
      <c r="G996" s="6"/>
      <c r="H996" s="7"/>
      <c r="P996" s="8"/>
      <c r="T996" s="9"/>
    </row>
    <row r="997">
      <c r="B997" s="1"/>
      <c r="C997" s="2"/>
      <c r="D997" s="3"/>
      <c r="E997" s="4"/>
      <c r="F997" s="5"/>
      <c r="G997" s="6"/>
      <c r="H997" s="7"/>
      <c r="P997" s="8"/>
      <c r="T997" s="9"/>
    </row>
    <row r="998">
      <c r="B998" s="1"/>
      <c r="C998" s="2"/>
      <c r="D998" s="3"/>
      <c r="E998" s="4"/>
      <c r="F998" s="5"/>
      <c r="G998" s="6"/>
      <c r="H998" s="7"/>
      <c r="P998" s="8"/>
      <c r="T998" s="9"/>
    </row>
    <row r="999">
      <c r="B999" s="1"/>
      <c r="C999" s="2"/>
      <c r="D999" s="3"/>
      <c r="E999" s="4"/>
      <c r="F999" s="5"/>
      <c r="G999" s="6"/>
      <c r="H999" s="7"/>
      <c r="P999" s="8"/>
      <c r="T999" s="9"/>
    </row>
    <row r="1000">
      <c r="B1000" s="1"/>
      <c r="C1000" s="2"/>
      <c r="D1000" s="3"/>
      <c r="E1000" s="4"/>
      <c r="F1000" s="5"/>
      <c r="G1000" s="6"/>
      <c r="H1000" s="7"/>
      <c r="P1000" s="8"/>
      <c r="T1000" s="9"/>
    </row>
    <row r="1001">
      <c r="B1001" s="1"/>
      <c r="C1001" s="2"/>
      <c r="D1001" s="3"/>
      <c r="E1001" s="4"/>
      <c r="F1001" s="5"/>
      <c r="G1001" s="6"/>
      <c r="H1001" s="7"/>
      <c r="P1001" s="8"/>
      <c r="T1001" s="9"/>
    </row>
    <row r="1002">
      <c r="B1002" s="1"/>
      <c r="C1002" s="2"/>
      <c r="D1002" s="3"/>
      <c r="E1002" s="4"/>
      <c r="F1002" s="5"/>
      <c r="G1002" s="6"/>
      <c r="H1002" s="7"/>
      <c r="P1002" s="8"/>
      <c r="T1002" s="9"/>
    </row>
    <row r="1003">
      <c r="B1003" s="1"/>
      <c r="C1003" s="2"/>
      <c r="D1003" s="3"/>
      <c r="E1003" s="4"/>
      <c r="F1003" s="5"/>
      <c r="G1003" s="6"/>
      <c r="H1003" s="7"/>
      <c r="P1003" s="8"/>
      <c r="T1003" s="9"/>
    </row>
    <row r="1004">
      <c r="B1004" s="1"/>
      <c r="C1004" s="2"/>
      <c r="D1004" s="3"/>
      <c r="E1004" s="4"/>
      <c r="F1004" s="5"/>
      <c r="G1004" s="6"/>
      <c r="H1004" s="7"/>
      <c r="P1004" s="8"/>
      <c r="T1004" s="9"/>
    </row>
    <row r="1005">
      <c r="B1005" s="1"/>
      <c r="C1005" s="2"/>
      <c r="D1005" s="3"/>
      <c r="E1005" s="4"/>
      <c r="F1005" s="5"/>
      <c r="G1005" s="6"/>
      <c r="H1005" s="7"/>
      <c r="P1005" s="8"/>
      <c r="T1005" s="9"/>
    </row>
    <row r="1006">
      <c r="B1006" s="1"/>
      <c r="C1006" s="2"/>
      <c r="D1006" s="3"/>
      <c r="E1006" s="4"/>
      <c r="F1006" s="5"/>
      <c r="G1006" s="6"/>
      <c r="H1006" s="7"/>
      <c r="P1006" s="8"/>
      <c r="T1006" s="9"/>
    </row>
    <row r="1007">
      <c r="B1007" s="1"/>
      <c r="C1007" s="2"/>
      <c r="D1007" s="3"/>
      <c r="E1007" s="4"/>
      <c r="F1007" s="5"/>
      <c r="G1007" s="6"/>
      <c r="H1007" s="7"/>
      <c r="P1007" s="8"/>
      <c r="T1007" s="9"/>
    </row>
  </sheetData>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61.5"/>
    <col customWidth="1" min="4" max="4" width="16.38"/>
    <col customWidth="1" min="5" max="5" width="28.25"/>
    <col customWidth="1" min="7" max="7" width="21.5"/>
  </cols>
  <sheetData>
    <row r="1">
      <c r="A1" s="12" t="s">
        <v>1</v>
      </c>
      <c r="B1" s="12" t="s">
        <v>188</v>
      </c>
      <c r="C1" s="20" t="s">
        <v>9</v>
      </c>
      <c r="D1" s="20" t="s">
        <v>10</v>
      </c>
      <c r="E1" s="20" t="s">
        <v>11</v>
      </c>
      <c r="F1" s="20" t="s">
        <v>12</v>
      </c>
      <c r="G1" s="20" t="s">
        <v>13</v>
      </c>
      <c r="H1" s="20" t="s">
        <v>14</v>
      </c>
      <c r="I1" s="20" t="s">
        <v>15</v>
      </c>
      <c r="J1" s="20"/>
      <c r="K1" s="57"/>
      <c r="L1" s="57"/>
      <c r="M1" s="20" t="s">
        <v>189</v>
      </c>
      <c r="N1" s="20" t="s">
        <v>190</v>
      </c>
      <c r="O1" s="10" t="s">
        <v>191</v>
      </c>
    </row>
    <row r="2">
      <c r="A2" s="23">
        <v>1.0</v>
      </c>
      <c r="B2" s="23">
        <v>1.0</v>
      </c>
      <c r="C2" s="10" t="s">
        <v>192</v>
      </c>
      <c r="D2" s="10"/>
    </row>
    <row r="3">
      <c r="A3" s="23">
        <v>2.0</v>
      </c>
      <c r="B3" s="23">
        <v>2.0</v>
      </c>
      <c r="C3" s="10" t="s">
        <v>26</v>
      </c>
      <c r="D3" s="10" t="s">
        <v>27</v>
      </c>
      <c r="E3" s="20" t="s">
        <v>28</v>
      </c>
      <c r="F3" s="20" t="s">
        <v>29</v>
      </c>
      <c r="G3" s="20" t="s">
        <v>30</v>
      </c>
      <c r="H3" s="20" t="s">
        <v>31</v>
      </c>
      <c r="I3" s="20" t="s">
        <v>32</v>
      </c>
      <c r="J3" s="58">
        <v>0.2</v>
      </c>
      <c r="K3" s="58">
        <v>0.4</v>
      </c>
      <c r="L3" s="57"/>
      <c r="M3" s="59">
        <v>1227.0</v>
      </c>
      <c r="N3" s="20" t="s">
        <v>193</v>
      </c>
    </row>
    <row r="4">
      <c r="A4" s="23">
        <v>3.0</v>
      </c>
      <c r="B4" s="23">
        <v>4.0</v>
      </c>
      <c r="C4" s="10" t="s">
        <v>194</v>
      </c>
      <c r="D4" s="10" t="s">
        <v>34</v>
      </c>
      <c r="E4" s="20" t="s">
        <v>35</v>
      </c>
      <c r="F4" s="20" t="s">
        <v>36</v>
      </c>
      <c r="G4" s="20" t="s">
        <v>37</v>
      </c>
      <c r="H4" s="20" t="s">
        <v>36</v>
      </c>
      <c r="I4" s="57"/>
      <c r="J4" s="57"/>
      <c r="K4" s="57"/>
      <c r="L4" s="57"/>
      <c r="M4" s="60"/>
      <c r="N4" s="20" t="s">
        <v>195</v>
      </c>
    </row>
    <row r="5">
      <c r="A5" s="23">
        <v>4.0</v>
      </c>
      <c r="B5" s="23">
        <v>7.0</v>
      </c>
      <c r="C5" s="10" t="s">
        <v>44</v>
      </c>
      <c r="D5" s="10" t="s">
        <v>45</v>
      </c>
      <c r="E5" s="57"/>
      <c r="F5" s="20" t="s">
        <v>36</v>
      </c>
      <c r="G5" s="20" t="s">
        <v>46</v>
      </c>
      <c r="H5" s="20" t="s">
        <v>36</v>
      </c>
      <c r="I5" s="57"/>
      <c r="J5" s="58">
        <v>0.08</v>
      </c>
      <c r="K5" s="58">
        <v>0.55</v>
      </c>
      <c r="L5" s="57"/>
      <c r="M5" s="57"/>
      <c r="N5" s="20" t="s">
        <v>196</v>
      </c>
    </row>
    <row r="6">
      <c r="A6" s="23">
        <v>5.0</v>
      </c>
      <c r="B6" s="23">
        <v>1.0</v>
      </c>
      <c r="C6" s="10" t="s">
        <v>50</v>
      </c>
      <c r="D6" s="10" t="s">
        <v>51</v>
      </c>
      <c r="E6" s="61"/>
      <c r="F6" s="20" t="s">
        <v>36</v>
      </c>
      <c r="G6" s="20" t="s">
        <v>52</v>
      </c>
      <c r="H6" s="20" t="s">
        <v>36</v>
      </c>
      <c r="I6" s="57"/>
      <c r="J6" s="58">
        <v>2.8</v>
      </c>
      <c r="K6" s="58">
        <v>2.8</v>
      </c>
      <c r="L6" s="57"/>
      <c r="M6" s="57"/>
      <c r="N6" s="20" t="s">
        <v>197</v>
      </c>
    </row>
    <row r="7">
      <c r="A7" s="23">
        <v>6.0</v>
      </c>
      <c r="B7" s="23">
        <v>3.0</v>
      </c>
      <c r="C7" s="10" t="s">
        <v>58</v>
      </c>
      <c r="D7" s="10" t="s">
        <v>59</v>
      </c>
      <c r="E7" s="20" t="s">
        <v>60</v>
      </c>
      <c r="F7" s="20" t="s">
        <v>61</v>
      </c>
      <c r="G7" s="20" t="s">
        <v>62</v>
      </c>
      <c r="H7" s="20" t="s">
        <v>31</v>
      </c>
      <c r="I7" s="20" t="s">
        <v>63</v>
      </c>
      <c r="J7" s="58">
        <v>0.17</v>
      </c>
      <c r="K7" s="58">
        <v>0.51</v>
      </c>
      <c r="L7" s="57"/>
      <c r="M7" s="62">
        <v>45693.0</v>
      </c>
      <c r="N7" s="20" t="s">
        <v>193</v>
      </c>
    </row>
    <row r="8">
      <c r="A8" s="23">
        <v>7.0</v>
      </c>
      <c r="B8" s="23">
        <v>1.0</v>
      </c>
      <c r="C8" s="10" t="s">
        <v>69</v>
      </c>
      <c r="D8" s="10" t="s">
        <v>70</v>
      </c>
      <c r="E8" s="63" t="s">
        <v>71</v>
      </c>
      <c r="F8" s="20" t="s">
        <v>66</v>
      </c>
      <c r="G8" s="20" t="s">
        <v>72</v>
      </c>
      <c r="H8" s="20" t="s">
        <v>31</v>
      </c>
      <c r="I8" s="20" t="s">
        <v>73</v>
      </c>
      <c r="J8" s="58">
        <v>1.09</v>
      </c>
      <c r="K8" s="58">
        <v>1.09</v>
      </c>
      <c r="L8" s="57"/>
      <c r="M8" s="57"/>
      <c r="N8" s="20" t="s">
        <v>198</v>
      </c>
    </row>
    <row r="9">
      <c r="A9" s="23">
        <v>8.0</v>
      </c>
      <c r="B9" s="23">
        <v>2.0</v>
      </c>
      <c r="C9" s="10" t="s">
        <v>90</v>
      </c>
      <c r="D9" s="10" t="s">
        <v>91</v>
      </c>
      <c r="E9" s="57"/>
      <c r="F9" s="20" t="s">
        <v>36</v>
      </c>
      <c r="G9" s="20" t="s">
        <v>92</v>
      </c>
      <c r="H9" s="20" t="s">
        <v>36</v>
      </c>
      <c r="I9" s="57"/>
      <c r="J9" s="58">
        <v>0.35</v>
      </c>
      <c r="K9" s="58">
        <v>0.7</v>
      </c>
      <c r="L9" s="57"/>
      <c r="M9" s="57"/>
      <c r="N9" s="20" t="s">
        <v>199</v>
      </c>
    </row>
    <row r="10">
      <c r="A10" s="23">
        <v>9.0</v>
      </c>
      <c r="B10" s="23">
        <v>2.0</v>
      </c>
      <c r="C10" s="10" t="s">
        <v>93</v>
      </c>
      <c r="D10" s="10" t="s">
        <v>94</v>
      </c>
      <c r="E10" s="20" t="s">
        <v>200</v>
      </c>
      <c r="F10" s="20" t="s">
        <v>36</v>
      </c>
      <c r="G10" s="20" t="s">
        <v>95</v>
      </c>
      <c r="H10" s="20" t="s">
        <v>36</v>
      </c>
      <c r="I10" s="57"/>
      <c r="J10" s="57"/>
      <c r="K10" s="57"/>
      <c r="L10" s="57"/>
      <c r="M10" s="57"/>
      <c r="N10" s="20" t="s">
        <v>201</v>
      </c>
    </row>
    <row r="11">
      <c r="A11" s="23">
        <v>10.0</v>
      </c>
      <c r="B11" s="23">
        <v>1.0</v>
      </c>
      <c r="C11" s="10" t="s">
        <v>96</v>
      </c>
      <c r="D11" s="10" t="s">
        <v>97</v>
      </c>
      <c r="E11" s="20" t="s">
        <v>98</v>
      </c>
      <c r="F11" s="20" t="s">
        <v>66</v>
      </c>
      <c r="G11" s="20" t="s">
        <v>99</v>
      </c>
      <c r="H11" s="20" t="s">
        <v>31</v>
      </c>
      <c r="I11" s="20" t="s">
        <v>100</v>
      </c>
      <c r="J11" s="58">
        <v>2.51</v>
      </c>
      <c r="K11" s="58">
        <v>0.0</v>
      </c>
      <c r="L11" s="57"/>
      <c r="M11" s="57"/>
      <c r="N11" s="20" t="s">
        <v>202</v>
      </c>
    </row>
    <row r="12">
      <c r="A12" s="23">
        <v>11.0</v>
      </c>
      <c r="B12" s="23">
        <v>1.0</v>
      </c>
      <c r="C12" s="10" t="s">
        <v>101</v>
      </c>
      <c r="D12" s="10" t="s">
        <v>102</v>
      </c>
      <c r="E12" s="20" t="s">
        <v>35</v>
      </c>
      <c r="F12" s="20" t="s">
        <v>36</v>
      </c>
      <c r="G12" s="20" t="s">
        <v>103</v>
      </c>
      <c r="H12" s="20" t="s">
        <v>36</v>
      </c>
      <c r="I12" s="57"/>
      <c r="J12" s="20"/>
      <c r="K12" s="57"/>
      <c r="L12" s="57"/>
      <c r="M12" s="57"/>
      <c r="N12" s="20" t="s">
        <v>203</v>
      </c>
      <c r="O12" s="20" t="s">
        <v>204</v>
      </c>
    </row>
    <row r="13">
      <c r="A13" s="23">
        <v>12.0</v>
      </c>
      <c r="B13" s="23">
        <v>2.0</v>
      </c>
      <c r="C13" s="10" t="s">
        <v>104</v>
      </c>
      <c r="D13" s="10" t="s">
        <v>105</v>
      </c>
      <c r="E13" s="20" t="s">
        <v>106</v>
      </c>
      <c r="F13" s="20" t="s">
        <v>107</v>
      </c>
      <c r="G13" s="63" t="s">
        <v>108</v>
      </c>
      <c r="H13" s="20" t="s">
        <v>31</v>
      </c>
      <c r="I13" s="20" t="s">
        <v>109</v>
      </c>
      <c r="J13" s="58">
        <v>2.99</v>
      </c>
      <c r="K13" s="58">
        <v>5.98</v>
      </c>
      <c r="L13" s="57"/>
      <c r="M13" s="64">
        <v>45678.0</v>
      </c>
      <c r="N13" s="20" t="s">
        <v>205</v>
      </c>
    </row>
    <row r="14">
      <c r="A14" s="23">
        <v>13.0</v>
      </c>
      <c r="B14" s="23">
        <v>4.0</v>
      </c>
      <c r="C14" s="10" t="s">
        <v>122</v>
      </c>
      <c r="E14" s="20" t="s">
        <v>123</v>
      </c>
      <c r="F14" s="57"/>
      <c r="G14" s="20" t="s">
        <v>124</v>
      </c>
      <c r="H14" s="57"/>
      <c r="I14" s="57"/>
    </row>
    <row r="15">
      <c r="A15" s="23">
        <v>14.0</v>
      </c>
      <c r="B15" s="23">
        <v>4.0</v>
      </c>
      <c r="C15" s="10" t="s">
        <v>126</v>
      </c>
      <c r="E15" s="20" t="s">
        <v>127</v>
      </c>
      <c r="F15" s="57"/>
      <c r="G15" s="20" t="s">
        <v>128</v>
      </c>
      <c r="H15" s="57"/>
      <c r="I15" s="57"/>
    </row>
    <row r="16">
      <c r="A16" s="23">
        <v>15.0</v>
      </c>
      <c r="B16" s="23">
        <v>4.0</v>
      </c>
      <c r="C16" s="10" t="s">
        <v>129</v>
      </c>
      <c r="E16" s="65" t="s">
        <v>130</v>
      </c>
      <c r="F16" s="20" t="s">
        <v>131</v>
      </c>
      <c r="G16" s="66" t="s">
        <v>132</v>
      </c>
      <c r="H16" s="20" t="s">
        <v>133</v>
      </c>
      <c r="I16" s="20" t="s">
        <v>134</v>
      </c>
      <c r="O16" s="10" t="s">
        <v>206</v>
      </c>
    </row>
    <row r="17">
      <c r="A17" s="23">
        <v>16.0</v>
      </c>
      <c r="B17" s="23">
        <v>8.0</v>
      </c>
      <c r="C17" s="10" t="s">
        <v>135</v>
      </c>
      <c r="E17" s="65" t="s">
        <v>136</v>
      </c>
      <c r="F17" s="20" t="s">
        <v>131</v>
      </c>
      <c r="G17" s="65" t="s">
        <v>137</v>
      </c>
      <c r="H17" s="20" t="s">
        <v>133</v>
      </c>
      <c r="I17" s="20" t="s">
        <v>138</v>
      </c>
      <c r="O17" s="10" t="s">
        <v>207</v>
      </c>
    </row>
    <row r="18">
      <c r="A18" s="23"/>
      <c r="B18" s="9"/>
    </row>
    <row r="19">
      <c r="A19" s="67">
        <v>45658.0</v>
      </c>
      <c r="B19" s="23">
        <v>1.0</v>
      </c>
      <c r="C19" s="10" t="s">
        <v>208</v>
      </c>
    </row>
    <row r="20">
      <c r="A20" s="67">
        <v>45689.0</v>
      </c>
      <c r="B20" s="23">
        <v>2.0</v>
      </c>
      <c r="C20" s="10" t="s">
        <v>139</v>
      </c>
      <c r="D20" s="20" t="s">
        <v>209</v>
      </c>
      <c r="E20" s="57"/>
      <c r="F20" s="20" t="s">
        <v>29</v>
      </c>
      <c r="G20" s="68">
        <v>5.106502E8</v>
      </c>
      <c r="H20" s="20" t="s">
        <v>31</v>
      </c>
      <c r="I20" s="20" t="s">
        <v>140</v>
      </c>
    </row>
    <row r="21">
      <c r="A21" s="67">
        <v>45690.0</v>
      </c>
      <c r="B21" s="23">
        <v>1.0</v>
      </c>
      <c r="C21" s="10" t="s">
        <v>141</v>
      </c>
      <c r="D21" s="10" t="s">
        <v>142</v>
      </c>
      <c r="E21" s="57"/>
      <c r="F21" s="20" t="s">
        <v>29</v>
      </c>
      <c r="G21" s="20" t="s">
        <v>143</v>
      </c>
      <c r="H21" s="20" t="s">
        <v>31</v>
      </c>
      <c r="I21" s="20" t="s">
        <v>144</v>
      </c>
    </row>
    <row r="22">
      <c r="A22" s="67">
        <v>45691.0</v>
      </c>
      <c r="B22" s="23">
        <v>1.0</v>
      </c>
      <c r="C22" s="10" t="s">
        <v>141</v>
      </c>
      <c r="D22" s="10" t="s">
        <v>145</v>
      </c>
      <c r="E22" s="57"/>
      <c r="F22" s="20" t="s">
        <v>29</v>
      </c>
      <c r="G22" s="20" t="s">
        <v>146</v>
      </c>
      <c r="H22" s="20" t="s">
        <v>31</v>
      </c>
      <c r="I22" s="20" t="s">
        <v>147</v>
      </c>
    </row>
    <row r="23">
      <c r="A23" s="67">
        <v>45692.0</v>
      </c>
      <c r="B23" s="23">
        <v>1.0</v>
      </c>
      <c r="C23" s="10" t="s">
        <v>148</v>
      </c>
      <c r="D23" s="10" t="s">
        <v>149</v>
      </c>
      <c r="E23" s="57"/>
      <c r="F23" s="20" t="s">
        <v>29</v>
      </c>
      <c r="G23" s="20" t="s">
        <v>150</v>
      </c>
      <c r="H23" s="20" t="s">
        <v>31</v>
      </c>
      <c r="I23" s="20" t="s">
        <v>151</v>
      </c>
    </row>
    <row r="24">
      <c r="A24" s="67">
        <v>45693.0</v>
      </c>
      <c r="B24" s="23">
        <v>1.0</v>
      </c>
      <c r="C24" s="10" t="s">
        <v>148</v>
      </c>
      <c r="D24" s="10" t="s">
        <v>152</v>
      </c>
      <c r="E24" s="57"/>
      <c r="F24" s="20" t="s">
        <v>29</v>
      </c>
      <c r="G24" s="20" t="s">
        <v>153</v>
      </c>
      <c r="H24" s="20" t="s">
        <v>31</v>
      </c>
      <c r="I24" s="20" t="s">
        <v>154</v>
      </c>
    </row>
    <row r="25">
      <c r="A25" s="67">
        <v>45717.0</v>
      </c>
      <c r="B25" s="23">
        <v>1.0</v>
      </c>
      <c r="C25" s="10" t="s">
        <v>155</v>
      </c>
      <c r="D25" s="10" t="s">
        <v>156</v>
      </c>
      <c r="E25" s="10" t="s">
        <v>157</v>
      </c>
      <c r="F25" s="20" t="s">
        <v>36</v>
      </c>
      <c r="G25" s="20" t="s">
        <v>158</v>
      </c>
      <c r="H25" s="20" t="s">
        <v>31</v>
      </c>
      <c r="I25" s="65" t="s">
        <v>159</v>
      </c>
    </row>
    <row r="26">
      <c r="A26" s="67">
        <v>45748.0</v>
      </c>
      <c r="B26" s="23">
        <v>7.0</v>
      </c>
      <c r="C26" s="10" t="s">
        <v>160</v>
      </c>
      <c r="D26" s="10" t="s">
        <v>161</v>
      </c>
      <c r="F26" s="20" t="s">
        <v>36</v>
      </c>
      <c r="G26" s="20" t="s">
        <v>162</v>
      </c>
      <c r="H26" s="20" t="s">
        <v>36</v>
      </c>
    </row>
    <row r="27">
      <c r="A27" s="67">
        <v>45778.0</v>
      </c>
      <c r="B27" s="23">
        <v>1.0</v>
      </c>
      <c r="C27" s="10" t="s">
        <v>163</v>
      </c>
      <c r="D27" s="10" t="s">
        <v>164</v>
      </c>
      <c r="F27" s="20" t="s">
        <v>36</v>
      </c>
      <c r="G27" s="20" t="s">
        <v>165</v>
      </c>
      <c r="H27" s="20" t="s">
        <v>36</v>
      </c>
    </row>
    <row r="28">
      <c r="A28" s="67">
        <v>45809.0</v>
      </c>
      <c r="B28" s="23">
        <v>3.0</v>
      </c>
      <c r="C28" s="10" t="s">
        <v>166</v>
      </c>
    </row>
    <row r="32" ht="9.75" customHeight="1">
      <c r="A32" s="69"/>
      <c r="B32" s="69"/>
      <c r="C32" s="69"/>
      <c r="D32" s="69"/>
      <c r="E32" s="69"/>
      <c r="F32" s="69"/>
      <c r="G32" s="69"/>
      <c r="H32" s="69"/>
      <c r="I32" s="69"/>
      <c r="J32" s="69"/>
      <c r="K32" s="69"/>
      <c r="L32" s="69"/>
      <c r="M32" s="69"/>
      <c r="N32" s="69"/>
      <c r="O32" s="69"/>
      <c r="P32" s="69"/>
      <c r="Q32" s="69"/>
      <c r="R32" s="69"/>
      <c r="S32" s="69"/>
      <c r="T32" s="69"/>
      <c r="U32" s="69"/>
      <c r="V32" s="69"/>
      <c r="W32" s="69"/>
      <c r="X32" s="69"/>
      <c r="Y32" s="69"/>
      <c r="Z32" s="69"/>
    </row>
    <row r="34">
      <c r="A34" s="68" t="s">
        <v>210</v>
      </c>
      <c r="B34" s="12"/>
      <c r="C34" s="70"/>
      <c r="D34" s="20"/>
      <c r="E34" s="20"/>
      <c r="F34" s="20"/>
      <c r="G34" s="57"/>
      <c r="H34" s="57"/>
      <c r="I34" s="57"/>
      <c r="J34" s="57"/>
      <c r="K34" s="57"/>
      <c r="L34" s="57"/>
      <c r="M34" s="57"/>
      <c r="N34" s="20"/>
    </row>
    <row r="35">
      <c r="A35" s="12"/>
      <c r="B35" s="71">
        <v>0.0</v>
      </c>
      <c r="C35" s="70" t="s">
        <v>211</v>
      </c>
      <c r="D35" s="20" t="s">
        <v>212</v>
      </c>
      <c r="E35" s="20" t="s">
        <v>213</v>
      </c>
      <c r="F35" s="20" t="s">
        <v>66</v>
      </c>
      <c r="G35" s="20" t="s">
        <v>214</v>
      </c>
      <c r="H35" s="20" t="s">
        <v>31</v>
      </c>
      <c r="I35" s="20" t="s">
        <v>215</v>
      </c>
      <c r="J35" s="58"/>
      <c r="K35" s="58"/>
      <c r="L35" s="57"/>
      <c r="M35" s="57"/>
      <c r="N35" s="20" t="s">
        <v>216</v>
      </c>
    </row>
    <row r="36">
      <c r="A36" s="12"/>
      <c r="B36" s="12">
        <v>1.0</v>
      </c>
      <c r="C36" s="72" t="s">
        <v>217</v>
      </c>
      <c r="D36" s="20" t="s">
        <v>218</v>
      </c>
      <c r="E36" s="57"/>
      <c r="F36" s="57"/>
      <c r="G36" s="57"/>
      <c r="H36" s="57"/>
      <c r="I36" s="57"/>
      <c r="J36" s="57"/>
      <c r="K36" s="57"/>
      <c r="L36" s="57"/>
      <c r="M36" s="57"/>
      <c r="N36" s="20" t="s">
        <v>219</v>
      </c>
    </row>
    <row r="37">
      <c r="A37" s="73"/>
      <c r="B37" s="12">
        <v>3.0</v>
      </c>
      <c r="C37" s="72" t="s">
        <v>220</v>
      </c>
      <c r="D37" s="20" t="s">
        <v>221</v>
      </c>
      <c r="E37" s="20" t="s">
        <v>222</v>
      </c>
      <c r="F37" s="20" t="s">
        <v>36</v>
      </c>
      <c r="G37" s="20" t="s">
        <v>158</v>
      </c>
      <c r="H37" s="20" t="s">
        <v>31</v>
      </c>
      <c r="I37" s="65" t="s">
        <v>159</v>
      </c>
      <c r="J37" s="20" t="s">
        <v>223</v>
      </c>
      <c r="K37" s="57"/>
      <c r="L37" s="57"/>
      <c r="M37" s="57"/>
      <c r="N37" s="57"/>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5.25"/>
    <col customWidth="1" min="4" max="4" width="17.25"/>
    <col customWidth="1" min="5" max="5" width="41.13"/>
  </cols>
  <sheetData>
    <row r="1">
      <c r="A1" s="12" t="s">
        <v>1</v>
      </c>
      <c r="B1" s="12" t="s">
        <v>188</v>
      </c>
      <c r="C1" s="20" t="s">
        <v>9</v>
      </c>
      <c r="D1" s="20" t="s">
        <v>10</v>
      </c>
      <c r="E1" s="20" t="s">
        <v>11</v>
      </c>
      <c r="F1" s="20" t="s">
        <v>12</v>
      </c>
      <c r="G1" s="20" t="s">
        <v>224</v>
      </c>
      <c r="H1" s="20" t="s">
        <v>14</v>
      </c>
      <c r="I1" s="20" t="s">
        <v>15</v>
      </c>
      <c r="J1" s="59" t="s">
        <v>225</v>
      </c>
      <c r="K1" s="59" t="s">
        <v>226</v>
      </c>
      <c r="L1" s="74"/>
      <c r="M1" s="20" t="s">
        <v>189</v>
      </c>
      <c r="N1" s="20" t="s">
        <v>190</v>
      </c>
    </row>
    <row r="2">
      <c r="A2" s="23">
        <v>1.0</v>
      </c>
      <c r="B2" s="23">
        <v>1.0</v>
      </c>
      <c r="C2" s="10" t="s">
        <v>192</v>
      </c>
      <c r="D2" s="10"/>
      <c r="E2" s="10"/>
    </row>
    <row r="3">
      <c r="A3" s="23">
        <v>2.0</v>
      </c>
      <c r="B3" s="23">
        <v>4.0</v>
      </c>
      <c r="C3" s="10" t="s">
        <v>110</v>
      </c>
      <c r="D3" s="10" t="s">
        <v>111</v>
      </c>
      <c r="E3" s="10" t="s">
        <v>112</v>
      </c>
      <c r="F3" s="20" t="s">
        <v>113</v>
      </c>
      <c r="G3" s="20" t="s">
        <v>114</v>
      </c>
      <c r="H3" s="20" t="s">
        <v>31</v>
      </c>
      <c r="I3" s="20" t="s">
        <v>115</v>
      </c>
      <c r="J3" s="57"/>
      <c r="K3" s="57"/>
      <c r="L3" s="57"/>
      <c r="M3" s="62">
        <v>45674.0</v>
      </c>
      <c r="N3" s="20" t="s">
        <v>199</v>
      </c>
    </row>
    <row r="4">
      <c r="A4" s="23">
        <v>3.0</v>
      </c>
      <c r="B4" s="23">
        <v>4.0</v>
      </c>
      <c r="C4" s="10" t="s">
        <v>116</v>
      </c>
      <c r="D4" s="10" t="s">
        <v>117</v>
      </c>
      <c r="E4" s="10" t="s">
        <v>118</v>
      </c>
      <c r="F4" s="20" t="s">
        <v>119</v>
      </c>
      <c r="G4" s="20" t="s">
        <v>120</v>
      </c>
      <c r="H4" s="20" t="s">
        <v>31</v>
      </c>
      <c r="I4" s="20" t="s">
        <v>121</v>
      </c>
      <c r="J4" s="58">
        <v>0.18</v>
      </c>
      <c r="K4" s="58">
        <v>0.72</v>
      </c>
      <c r="L4" s="57"/>
      <c r="M4" s="57"/>
      <c r="N4" s="20" t="s">
        <v>227</v>
      </c>
    </row>
    <row r="5">
      <c r="A5" s="23">
        <v>4.0</v>
      </c>
      <c r="B5" s="23">
        <v>5.0</v>
      </c>
      <c r="C5" s="10" t="s">
        <v>33</v>
      </c>
      <c r="D5" s="10" t="s">
        <v>34</v>
      </c>
      <c r="E5" s="20" t="s">
        <v>35</v>
      </c>
      <c r="F5" s="20" t="s">
        <v>36</v>
      </c>
      <c r="G5" s="20" t="s">
        <v>37</v>
      </c>
      <c r="H5" s="20" t="s">
        <v>36</v>
      </c>
      <c r="I5" s="57"/>
      <c r="J5" s="57"/>
      <c r="K5" s="57"/>
      <c r="L5" s="57"/>
      <c r="M5" s="57"/>
      <c r="N5" s="20" t="s">
        <v>195</v>
      </c>
    </row>
    <row r="6">
      <c r="A6" s="23">
        <v>5.0</v>
      </c>
      <c r="B6" s="23">
        <v>1.0</v>
      </c>
      <c r="C6" s="10" t="s">
        <v>38</v>
      </c>
      <c r="D6" s="10" t="s">
        <v>39</v>
      </c>
      <c r="E6" s="20" t="s">
        <v>40</v>
      </c>
      <c r="F6" s="20" t="s">
        <v>41</v>
      </c>
      <c r="G6" s="20" t="s">
        <v>42</v>
      </c>
      <c r="H6" s="20" t="s">
        <v>31</v>
      </c>
      <c r="I6" s="20" t="s">
        <v>43</v>
      </c>
      <c r="J6" s="58">
        <v>2.53</v>
      </c>
      <c r="K6" s="58">
        <v>2.53</v>
      </c>
      <c r="L6" s="57"/>
      <c r="M6" s="57"/>
      <c r="N6" s="20" t="s">
        <v>228</v>
      </c>
    </row>
    <row r="7">
      <c r="A7" s="23">
        <v>6.0</v>
      </c>
      <c r="B7" s="23">
        <v>1.0</v>
      </c>
      <c r="C7" s="10" t="s">
        <v>47</v>
      </c>
      <c r="D7" s="10" t="s">
        <v>48</v>
      </c>
      <c r="F7" s="20" t="s">
        <v>36</v>
      </c>
      <c r="G7" s="20" t="s">
        <v>49</v>
      </c>
      <c r="H7" s="20" t="s">
        <v>36</v>
      </c>
      <c r="I7" s="57"/>
      <c r="J7" s="58">
        <v>2.02</v>
      </c>
      <c r="K7" s="58">
        <v>2.02</v>
      </c>
      <c r="L7" s="57"/>
      <c r="M7" s="57"/>
      <c r="N7" s="20" t="s">
        <v>229</v>
      </c>
    </row>
    <row r="8">
      <c r="A8" s="23">
        <v>7.0</v>
      </c>
      <c r="B8" s="23">
        <v>1.0</v>
      </c>
      <c r="C8" s="10" t="s">
        <v>64</v>
      </c>
      <c r="D8" s="10" t="s">
        <v>54</v>
      </c>
      <c r="E8" s="20" t="s">
        <v>65</v>
      </c>
      <c r="F8" s="20" t="s">
        <v>66</v>
      </c>
      <c r="G8" s="20" t="s">
        <v>67</v>
      </c>
      <c r="H8" s="20" t="s">
        <v>31</v>
      </c>
      <c r="I8" s="20" t="s">
        <v>68</v>
      </c>
      <c r="J8" s="58">
        <v>1.07</v>
      </c>
      <c r="K8" s="58">
        <v>1.07</v>
      </c>
      <c r="L8" s="57"/>
      <c r="M8" s="59">
        <v>1227.0</v>
      </c>
      <c r="N8" s="20" t="s">
        <v>230</v>
      </c>
    </row>
    <row r="9">
      <c r="A9" s="23">
        <v>8.0</v>
      </c>
      <c r="B9" s="23">
        <v>4.0</v>
      </c>
      <c r="C9" s="10" t="s">
        <v>74</v>
      </c>
      <c r="D9" s="10" t="s">
        <v>75</v>
      </c>
      <c r="E9" s="10" t="s">
        <v>76</v>
      </c>
      <c r="F9" s="20" t="s">
        <v>77</v>
      </c>
      <c r="G9" s="20" t="s">
        <v>78</v>
      </c>
      <c r="H9" s="20" t="s">
        <v>77</v>
      </c>
      <c r="I9" s="57"/>
      <c r="J9" s="58">
        <v>1.86</v>
      </c>
      <c r="K9" s="58"/>
      <c r="L9" s="57"/>
      <c r="M9" s="57"/>
      <c r="N9" s="20" t="s">
        <v>231</v>
      </c>
    </row>
    <row r="10">
      <c r="A10" s="23">
        <v>9.0</v>
      </c>
      <c r="B10" s="23">
        <v>1.0</v>
      </c>
      <c r="C10" s="10" t="s">
        <v>79</v>
      </c>
      <c r="D10" s="10" t="s">
        <v>75</v>
      </c>
      <c r="E10" s="10" t="s">
        <v>80</v>
      </c>
      <c r="F10" s="20" t="s">
        <v>77</v>
      </c>
      <c r="G10" s="20" t="s">
        <v>78</v>
      </c>
      <c r="H10" s="20" t="s">
        <v>77</v>
      </c>
      <c r="I10" s="57"/>
      <c r="J10" s="58">
        <v>1.86</v>
      </c>
      <c r="K10" s="58"/>
      <c r="L10" s="57"/>
      <c r="M10" s="57"/>
      <c r="N10" s="20" t="s">
        <v>231</v>
      </c>
    </row>
    <row r="11">
      <c r="A11" s="23">
        <v>10.0</v>
      </c>
      <c r="B11" s="23">
        <v>1.0</v>
      </c>
      <c r="C11" s="10" t="s">
        <v>82</v>
      </c>
      <c r="D11" s="10" t="s">
        <v>83</v>
      </c>
      <c r="E11" s="20" t="s">
        <v>84</v>
      </c>
      <c r="F11" s="20" t="s">
        <v>66</v>
      </c>
      <c r="G11" s="20" t="s">
        <v>85</v>
      </c>
      <c r="H11" s="20" t="s">
        <v>31</v>
      </c>
      <c r="I11" s="20" t="s">
        <v>86</v>
      </c>
      <c r="J11" s="58">
        <v>1.72</v>
      </c>
      <c r="K11" s="58">
        <v>1.72</v>
      </c>
      <c r="L11" s="57"/>
      <c r="M11" s="62">
        <v>45670.0</v>
      </c>
      <c r="N11" s="20" t="s">
        <v>232</v>
      </c>
    </row>
    <row r="12">
      <c r="A12" s="23">
        <v>11.0</v>
      </c>
      <c r="B12" s="23">
        <v>2.0</v>
      </c>
      <c r="C12" s="10" t="s">
        <v>233</v>
      </c>
      <c r="D12" s="10" t="s">
        <v>91</v>
      </c>
      <c r="F12" s="20" t="s">
        <v>36</v>
      </c>
      <c r="G12" s="20" t="s">
        <v>92</v>
      </c>
      <c r="H12" s="20" t="s">
        <v>36</v>
      </c>
      <c r="I12" s="57"/>
      <c r="J12" s="58">
        <v>0.35</v>
      </c>
      <c r="K12" s="58">
        <v>0.7</v>
      </c>
      <c r="L12" s="57"/>
      <c r="M12" s="57"/>
      <c r="N12" s="20" t="s">
        <v>199</v>
      </c>
    </row>
    <row r="13">
      <c r="A13" s="23">
        <v>12.0</v>
      </c>
      <c r="B13" s="23">
        <v>2.0</v>
      </c>
      <c r="C13" s="10" t="s">
        <v>234</v>
      </c>
      <c r="D13" s="10" t="s">
        <v>94</v>
      </c>
      <c r="E13" s="20" t="s">
        <v>200</v>
      </c>
      <c r="F13" s="20" t="s">
        <v>36</v>
      </c>
      <c r="G13" s="20" t="s">
        <v>95</v>
      </c>
      <c r="H13" s="20" t="s">
        <v>36</v>
      </c>
      <c r="I13" s="57"/>
      <c r="J13" s="57"/>
      <c r="K13" s="57"/>
      <c r="L13" s="57"/>
      <c r="M13" s="57"/>
      <c r="N13" s="20" t="s">
        <v>201</v>
      </c>
    </row>
    <row r="14">
      <c r="A14" s="23">
        <v>13.0</v>
      </c>
      <c r="B14" s="23">
        <v>1.0</v>
      </c>
      <c r="C14" s="10" t="s">
        <v>235</v>
      </c>
      <c r="D14" s="10" t="s">
        <v>102</v>
      </c>
      <c r="E14" s="20" t="s">
        <v>35</v>
      </c>
      <c r="F14" s="20" t="s">
        <v>36</v>
      </c>
      <c r="G14" s="20" t="s">
        <v>103</v>
      </c>
      <c r="H14" s="20" t="s">
        <v>36</v>
      </c>
      <c r="I14" s="57"/>
      <c r="J14" s="57"/>
      <c r="K14" s="57"/>
      <c r="L14" s="57"/>
      <c r="M14" s="57"/>
      <c r="N14" s="20" t="s">
        <v>203</v>
      </c>
    </row>
    <row r="15">
      <c r="A15" s="23">
        <v>14.0</v>
      </c>
      <c r="B15" s="23">
        <v>1.0</v>
      </c>
      <c r="C15" s="10" t="s">
        <v>236</v>
      </c>
      <c r="D15" s="10" t="s">
        <v>105</v>
      </c>
      <c r="E15" s="20" t="s">
        <v>106</v>
      </c>
      <c r="F15" s="20" t="s">
        <v>107</v>
      </c>
      <c r="G15" s="63" t="s">
        <v>108</v>
      </c>
      <c r="H15" s="20" t="s">
        <v>31</v>
      </c>
      <c r="I15" s="20" t="s">
        <v>109</v>
      </c>
      <c r="J15" s="58">
        <v>2.99</v>
      </c>
      <c r="K15" s="58">
        <v>2.99</v>
      </c>
      <c r="L15" s="57"/>
      <c r="M15" s="64">
        <v>45678.0</v>
      </c>
      <c r="N15" s="20" t="s">
        <v>205</v>
      </c>
    </row>
    <row r="16">
      <c r="A16" s="23">
        <v>15.0</v>
      </c>
      <c r="B16" s="23">
        <v>4.0</v>
      </c>
      <c r="C16" s="10" t="s">
        <v>122</v>
      </c>
      <c r="E16" s="20" t="s">
        <v>123</v>
      </c>
      <c r="F16" s="57"/>
      <c r="G16" s="20" t="s">
        <v>124</v>
      </c>
      <c r="H16" s="57"/>
      <c r="I16" s="57"/>
    </row>
    <row r="17">
      <c r="A17" s="23">
        <v>16.0</v>
      </c>
      <c r="B17" s="23">
        <v>4.0</v>
      </c>
      <c r="C17" s="10" t="s">
        <v>126</v>
      </c>
      <c r="E17" s="20" t="s">
        <v>127</v>
      </c>
      <c r="F17" s="57"/>
      <c r="G17" s="20" t="s">
        <v>128</v>
      </c>
      <c r="H17" s="57"/>
      <c r="I17" s="57"/>
    </row>
    <row r="18">
      <c r="A18" s="23">
        <v>17.0</v>
      </c>
      <c r="B18" s="23">
        <v>4.0</v>
      </c>
      <c r="C18" s="10" t="s">
        <v>129</v>
      </c>
      <c r="E18" s="65" t="s">
        <v>130</v>
      </c>
      <c r="F18" s="20" t="s">
        <v>131</v>
      </c>
      <c r="G18" s="66" t="s">
        <v>132</v>
      </c>
      <c r="H18" s="20" t="s">
        <v>133</v>
      </c>
      <c r="I18" s="20" t="s">
        <v>134</v>
      </c>
      <c r="O18" s="10" t="s">
        <v>206</v>
      </c>
    </row>
    <row r="19">
      <c r="A19" s="23">
        <v>18.0</v>
      </c>
      <c r="B19" s="23">
        <v>8.0</v>
      </c>
      <c r="C19" s="10" t="s">
        <v>135</v>
      </c>
      <c r="E19" s="65" t="s">
        <v>136</v>
      </c>
      <c r="F19" s="20" t="s">
        <v>131</v>
      </c>
      <c r="G19" s="65" t="s">
        <v>137</v>
      </c>
      <c r="H19" s="20" t="s">
        <v>133</v>
      </c>
      <c r="I19" s="20" t="s">
        <v>138</v>
      </c>
      <c r="O19" s="10" t="s">
        <v>207</v>
      </c>
    </row>
    <row r="20">
      <c r="A20" s="23"/>
      <c r="B20" s="23"/>
    </row>
    <row r="21">
      <c r="A21" s="67">
        <v>45658.0</v>
      </c>
      <c r="B21" s="23">
        <v>1.0</v>
      </c>
      <c r="C21" s="10" t="s">
        <v>237</v>
      </c>
    </row>
    <row r="22">
      <c r="A22" s="67">
        <v>45748.0</v>
      </c>
      <c r="B22" s="23">
        <v>1.0</v>
      </c>
      <c r="C22" s="10" t="s">
        <v>155</v>
      </c>
      <c r="D22" s="10" t="s">
        <v>156</v>
      </c>
      <c r="E22" s="10" t="s">
        <v>157</v>
      </c>
      <c r="F22" s="20" t="s">
        <v>36</v>
      </c>
      <c r="G22" s="20" t="s">
        <v>158</v>
      </c>
      <c r="H22" s="20" t="s">
        <v>31</v>
      </c>
      <c r="I22" s="65" t="s">
        <v>159</v>
      </c>
    </row>
    <row r="23">
      <c r="A23" s="67">
        <v>45778.0</v>
      </c>
      <c r="B23" s="23">
        <v>1.0</v>
      </c>
      <c r="C23" s="10" t="s">
        <v>167</v>
      </c>
    </row>
    <row r="24">
      <c r="A24" s="67">
        <v>45779.0</v>
      </c>
      <c r="B24" s="23">
        <v>4.0</v>
      </c>
      <c r="C24" s="10" t="s">
        <v>168</v>
      </c>
    </row>
    <row r="25">
      <c r="A25" s="67">
        <v>45809.0</v>
      </c>
      <c r="B25" s="23">
        <v>1.0</v>
      </c>
      <c r="C25" s="10" t="s">
        <v>169</v>
      </c>
      <c r="D25" s="10" t="s">
        <v>170</v>
      </c>
      <c r="F25" s="20" t="s">
        <v>36</v>
      </c>
      <c r="G25" s="20" t="s">
        <v>171</v>
      </c>
      <c r="H25" s="20" t="s">
        <v>36</v>
      </c>
      <c r="I25" s="57"/>
      <c r="J25" s="58">
        <v>2.02</v>
      </c>
      <c r="K25" s="58">
        <v>2.02</v>
      </c>
      <c r="L25" s="57"/>
      <c r="M25" s="57"/>
      <c r="N25" s="20" t="s">
        <v>229</v>
      </c>
    </row>
    <row r="32" ht="9.75" customHeight="1">
      <c r="A32" s="69"/>
      <c r="B32" s="69"/>
      <c r="C32" s="69"/>
      <c r="D32" s="69"/>
      <c r="E32" s="69"/>
      <c r="F32" s="69"/>
      <c r="G32" s="69"/>
      <c r="H32" s="69"/>
      <c r="I32" s="69"/>
      <c r="J32" s="69"/>
      <c r="K32" s="69"/>
      <c r="L32" s="69"/>
      <c r="M32" s="69"/>
      <c r="N32" s="69"/>
      <c r="O32" s="69"/>
      <c r="P32" s="69"/>
      <c r="Q32" s="69"/>
      <c r="R32" s="69"/>
      <c r="S32" s="69"/>
      <c r="T32" s="69"/>
      <c r="U32" s="69"/>
      <c r="V32" s="69"/>
      <c r="W32" s="69"/>
      <c r="X32" s="69"/>
      <c r="Y32" s="69"/>
      <c r="Z32" s="69"/>
    </row>
    <row r="34" ht="23.25" customHeight="1">
      <c r="A34" s="75" t="s">
        <v>238</v>
      </c>
      <c r="D34" s="76"/>
      <c r="E34" s="76"/>
      <c r="F34" s="76"/>
      <c r="G34" s="77"/>
      <c r="H34" s="77"/>
      <c r="I34" s="77"/>
      <c r="J34" s="77"/>
      <c r="K34" s="77"/>
      <c r="L34" s="77"/>
      <c r="M34" s="77"/>
      <c r="N34" s="76"/>
      <c r="O34" s="78"/>
      <c r="P34" s="78"/>
      <c r="Q34" s="78"/>
      <c r="R34" s="78"/>
      <c r="S34" s="78"/>
      <c r="T34" s="78"/>
      <c r="U34" s="78"/>
      <c r="V34" s="78"/>
      <c r="W34" s="78"/>
      <c r="X34" s="78"/>
      <c r="Y34" s="78"/>
      <c r="Z34" s="78"/>
    </row>
    <row r="35">
      <c r="A35" s="12"/>
      <c r="B35" s="12">
        <v>1.0</v>
      </c>
      <c r="C35" s="72" t="s">
        <v>239</v>
      </c>
      <c r="D35" s="20" t="s">
        <v>240</v>
      </c>
      <c r="E35" s="79"/>
      <c r="F35" s="79"/>
      <c r="G35" s="79"/>
      <c r="H35" s="79"/>
      <c r="I35" s="79"/>
      <c r="J35" s="80"/>
      <c r="K35" s="80"/>
      <c r="L35" s="57"/>
      <c r="M35" s="57"/>
      <c r="N35" s="20" t="s">
        <v>241</v>
      </c>
    </row>
    <row r="36">
      <c r="A36" s="12"/>
      <c r="B36" s="12">
        <v>8.0</v>
      </c>
      <c r="C36" s="72" t="s">
        <v>242</v>
      </c>
      <c r="D36" s="20" t="s">
        <v>243</v>
      </c>
      <c r="E36" s="79"/>
      <c r="F36" s="79"/>
      <c r="G36" s="79"/>
      <c r="H36" s="79"/>
      <c r="I36" s="79"/>
      <c r="J36" s="80"/>
      <c r="K36" s="80"/>
      <c r="L36" s="57"/>
      <c r="M36" s="57"/>
      <c r="N36" s="20" t="s">
        <v>244</v>
      </c>
    </row>
    <row r="37">
      <c r="A37" s="12"/>
      <c r="B37" s="71">
        <v>0.0</v>
      </c>
      <c r="C37" s="72" t="s">
        <v>211</v>
      </c>
      <c r="D37" s="20" t="s">
        <v>212</v>
      </c>
      <c r="E37" s="20" t="s">
        <v>213</v>
      </c>
      <c r="F37" s="20" t="s">
        <v>66</v>
      </c>
      <c r="G37" s="20" t="s">
        <v>214</v>
      </c>
      <c r="H37" s="20" t="s">
        <v>31</v>
      </c>
      <c r="I37" s="20" t="s">
        <v>215</v>
      </c>
      <c r="J37" s="58"/>
      <c r="K37" s="58"/>
      <c r="L37" s="57"/>
      <c r="M37" s="57"/>
      <c r="N37" s="20" t="s">
        <v>216</v>
      </c>
    </row>
    <row r="38">
      <c r="A38" s="12"/>
      <c r="B38" s="12">
        <v>4.0</v>
      </c>
      <c r="C38" s="72" t="s">
        <v>245</v>
      </c>
      <c r="D38" s="20" t="s">
        <v>45</v>
      </c>
      <c r="E38" s="57"/>
      <c r="F38" s="20" t="s">
        <v>36</v>
      </c>
      <c r="G38" s="20" t="s">
        <v>46</v>
      </c>
      <c r="H38" s="20" t="s">
        <v>36</v>
      </c>
      <c r="I38" s="57"/>
      <c r="J38" s="79"/>
      <c r="K38" s="79"/>
      <c r="L38" s="57"/>
      <c r="M38" s="57"/>
      <c r="N38" s="20" t="s">
        <v>196</v>
      </c>
    </row>
    <row r="39">
      <c r="A39" s="12"/>
      <c r="B39" s="12"/>
      <c r="C39" s="72"/>
      <c r="D39" s="20"/>
      <c r="E39" s="57"/>
      <c r="F39" s="57"/>
      <c r="G39" s="57"/>
      <c r="H39" s="57"/>
      <c r="I39" s="57"/>
      <c r="J39" s="57"/>
      <c r="K39" s="57"/>
      <c r="L39" s="57"/>
      <c r="M39" s="57"/>
      <c r="N39" s="20"/>
    </row>
    <row r="40">
      <c r="A40" s="73"/>
      <c r="B40" s="12"/>
      <c r="C40" s="72"/>
      <c r="D40" s="20"/>
      <c r="E40" s="20"/>
      <c r="F40" s="20"/>
      <c r="G40" s="20"/>
      <c r="H40" s="20"/>
      <c r="I40" s="65"/>
      <c r="J40" s="20"/>
      <c r="K40" s="57"/>
      <c r="L40" s="57"/>
      <c r="M40" s="57"/>
      <c r="N40" s="57"/>
    </row>
  </sheetData>
  <mergeCells count="1">
    <mergeCell ref="A34:C34"/>
  </mergeCell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8.5"/>
    <col customWidth="1" min="4" max="4" width="19.13"/>
    <col customWidth="1" min="5" max="5" width="27.63"/>
    <col customWidth="1" min="7" max="7" width="16.88"/>
  </cols>
  <sheetData>
    <row r="1">
      <c r="A1" s="12" t="s">
        <v>1</v>
      </c>
      <c r="B1" s="12" t="s">
        <v>188</v>
      </c>
      <c r="C1" s="20" t="s">
        <v>9</v>
      </c>
      <c r="D1" s="20" t="s">
        <v>10</v>
      </c>
      <c r="E1" s="20" t="s">
        <v>11</v>
      </c>
      <c r="F1" s="20" t="s">
        <v>12</v>
      </c>
      <c r="G1" s="20" t="s">
        <v>13</v>
      </c>
      <c r="H1" s="20" t="s">
        <v>14</v>
      </c>
      <c r="I1" s="20" t="s">
        <v>15</v>
      </c>
      <c r="J1" s="59" t="s">
        <v>225</v>
      </c>
      <c r="K1" s="59" t="s">
        <v>226</v>
      </c>
      <c r="L1" s="57"/>
      <c r="M1" s="20" t="s">
        <v>189</v>
      </c>
      <c r="N1" s="20" t="s">
        <v>190</v>
      </c>
    </row>
    <row r="2">
      <c r="A2" s="12">
        <v>1.0</v>
      </c>
      <c r="B2" s="12">
        <v>1.0</v>
      </c>
      <c r="C2" s="10" t="s">
        <v>192</v>
      </c>
      <c r="D2" s="20"/>
      <c r="E2" s="20"/>
      <c r="F2" s="20"/>
      <c r="G2" s="20"/>
      <c r="H2" s="20"/>
      <c r="I2" s="20"/>
      <c r="J2" s="59"/>
      <c r="K2" s="59"/>
      <c r="L2" s="57"/>
      <c r="M2" s="20"/>
      <c r="N2" s="20"/>
    </row>
    <row r="3">
      <c r="A3" s="23">
        <v>2.0</v>
      </c>
      <c r="B3" s="23">
        <v>5.0</v>
      </c>
      <c r="C3" s="10" t="s">
        <v>33</v>
      </c>
      <c r="D3" s="10" t="s">
        <v>34</v>
      </c>
      <c r="F3" s="20" t="s">
        <v>36</v>
      </c>
      <c r="G3" s="20" t="s">
        <v>37</v>
      </c>
      <c r="H3" s="20" t="s">
        <v>36</v>
      </c>
      <c r="I3" s="57"/>
      <c r="J3" s="57"/>
      <c r="K3" s="57"/>
      <c r="L3" s="57"/>
      <c r="M3" s="57"/>
      <c r="N3" s="20" t="s">
        <v>195</v>
      </c>
    </row>
    <row r="4">
      <c r="A4" s="23">
        <v>3.0</v>
      </c>
      <c r="B4" s="23">
        <v>1.0</v>
      </c>
      <c r="C4" s="10" t="s">
        <v>38</v>
      </c>
      <c r="D4" s="10" t="s">
        <v>39</v>
      </c>
      <c r="E4" s="20" t="s">
        <v>40</v>
      </c>
      <c r="F4" s="20" t="s">
        <v>41</v>
      </c>
      <c r="G4" s="20" t="s">
        <v>42</v>
      </c>
      <c r="H4" s="20" t="s">
        <v>31</v>
      </c>
      <c r="I4" s="20" t="s">
        <v>43</v>
      </c>
      <c r="J4" s="58">
        <v>2.53</v>
      </c>
      <c r="K4" s="58">
        <v>2.53</v>
      </c>
      <c r="L4" s="57"/>
      <c r="M4" s="57"/>
      <c r="N4" s="20" t="s">
        <v>228</v>
      </c>
    </row>
    <row r="5">
      <c r="A5" s="12">
        <v>4.0</v>
      </c>
      <c r="B5" s="23">
        <v>1.0</v>
      </c>
      <c r="C5" s="10" t="s">
        <v>246</v>
      </c>
      <c r="D5" s="10" t="s">
        <v>48</v>
      </c>
      <c r="F5" s="20" t="s">
        <v>36</v>
      </c>
      <c r="G5" s="20" t="s">
        <v>49</v>
      </c>
      <c r="H5" s="20" t="s">
        <v>36</v>
      </c>
      <c r="I5" s="57"/>
      <c r="J5" s="58">
        <v>2.02</v>
      </c>
      <c r="K5" s="58">
        <v>2.02</v>
      </c>
      <c r="L5" s="57"/>
      <c r="M5" s="57"/>
      <c r="N5" s="20" t="s">
        <v>229</v>
      </c>
    </row>
    <row r="6">
      <c r="A6" s="23">
        <v>5.0</v>
      </c>
      <c r="B6" s="23">
        <v>1.0</v>
      </c>
      <c r="C6" s="10" t="s">
        <v>53</v>
      </c>
      <c r="D6" s="10" t="s">
        <v>54</v>
      </c>
      <c r="E6" s="20" t="s">
        <v>55</v>
      </c>
      <c r="F6" s="20" t="s">
        <v>29</v>
      </c>
      <c r="G6" s="20" t="s">
        <v>56</v>
      </c>
      <c r="H6" s="20" t="s">
        <v>31</v>
      </c>
      <c r="I6" s="20" t="s">
        <v>57</v>
      </c>
      <c r="J6" s="59">
        <v>0.29</v>
      </c>
      <c r="K6" s="58">
        <v>0.29</v>
      </c>
      <c r="L6" s="57"/>
      <c r="M6" s="81">
        <v>1227.0</v>
      </c>
      <c r="N6" s="20" t="s">
        <v>247</v>
      </c>
    </row>
    <row r="7">
      <c r="A7" s="23">
        <v>6.0</v>
      </c>
      <c r="B7" s="23">
        <v>1.0</v>
      </c>
      <c r="C7" s="10" t="s">
        <v>64</v>
      </c>
      <c r="D7" s="10" t="s">
        <v>54</v>
      </c>
      <c r="E7" s="20" t="s">
        <v>65</v>
      </c>
      <c r="F7" s="20" t="s">
        <v>66</v>
      </c>
      <c r="G7" s="20" t="s">
        <v>67</v>
      </c>
      <c r="H7" s="20" t="s">
        <v>31</v>
      </c>
      <c r="I7" s="20" t="s">
        <v>68</v>
      </c>
      <c r="J7" s="58">
        <v>1.07</v>
      </c>
      <c r="K7" s="58">
        <v>1.07</v>
      </c>
      <c r="L7" s="57"/>
      <c r="M7" s="59">
        <v>1227.0</v>
      </c>
      <c r="N7" s="20" t="s">
        <v>230</v>
      </c>
    </row>
    <row r="8">
      <c r="A8" s="12">
        <v>7.0</v>
      </c>
      <c r="B8" s="23">
        <v>2.0</v>
      </c>
      <c r="C8" s="10" t="s">
        <v>248</v>
      </c>
      <c r="D8" s="10" t="s">
        <v>75</v>
      </c>
      <c r="E8" s="10" t="s">
        <v>76</v>
      </c>
      <c r="F8" s="20" t="s">
        <v>77</v>
      </c>
      <c r="G8" s="20" t="s">
        <v>78</v>
      </c>
      <c r="H8" s="20" t="s">
        <v>77</v>
      </c>
      <c r="I8" s="57"/>
      <c r="J8" s="58">
        <v>1.86</v>
      </c>
      <c r="K8" s="58"/>
      <c r="L8" s="57"/>
      <c r="M8" s="57"/>
      <c r="N8" s="20" t="s">
        <v>231</v>
      </c>
    </row>
    <row r="9">
      <c r="A9" s="23">
        <v>8.0</v>
      </c>
      <c r="B9" s="23">
        <v>2.0</v>
      </c>
      <c r="C9" s="10" t="s">
        <v>249</v>
      </c>
      <c r="D9" s="10" t="s">
        <v>75</v>
      </c>
      <c r="E9" s="10" t="s">
        <v>80</v>
      </c>
      <c r="F9" s="20" t="s">
        <v>77</v>
      </c>
      <c r="G9" s="20" t="s">
        <v>78</v>
      </c>
      <c r="H9" s="20" t="s">
        <v>77</v>
      </c>
      <c r="I9" s="57"/>
      <c r="J9" s="58">
        <v>1.86</v>
      </c>
      <c r="K9" s="58"/>
      <c r="L9" s="57"/>
      <c r="M9" s="57"/>
      <c r="N9" s="20" t="s">
        <v>231</v>
      </c>
    </row>
    <row r="10">
      <c r="A10" s="23">
        <v>9.0</v>
      </c>
      <c r="B10" s="23">
        <v>1.0</v>
      </c>
      <c r="C10" s="10" t="s">
        <v>79</v>
      </c>
      <c r="D10" s="10" t="s">
        <v>75</v>
      </c>
      <c r="E10" s="10" t="s">
        <v>81</v>
      </c>
      <c r="F10" s="20" t="s">
        <v>77</v>
      </c>
      <c r="G10" s="20" t="s">
        <v>78</v>
      </c>
      <c r="H10" s="20" t="s">
        <v>77</v>
      </c>
      <c r="I10" s="57"/>
      <c r="J10" s="58">
        <v>1.86</v>
      </c>
      <c r="K10" s="58"/>
      <c r="L10" s="57"/>
      <c r="M10" s="57"/>
      <c r="N10" s="20" t="s">
        <v>231</v>
      </c>
    </row>
    <row r="11">
      <c r="A11" s="12">
        <v>10.0</v>
      </c>
      <c r="B11" s="23">
        <v>1.0</v>
      </c>
      <c r="C11" s="10" t="s">
        <v>82</v>
      </c>
      <c r="D11" s="10" t="s">
        <v>83</v>
      </c>
      <c r="E11" s="20" t="s">
        <v>84</v>
      </c>
      <c r="F11" s="20" t="s">
        <v>66</v>
      </c>
      <c r="G11" s="20" t="s">
        <v>85</v>
      </c>
      <c r="H11" s="20" t="s">
        <v>31</v>
      </c>
      <c r="I11" s="20" t="s">
        <v>86</v>
      </c>
      <c r="J11" s="58">
        <v>1.72</v>
      </c>
      <c r="K11" s="58">
        <v>1.72</v>
      </c>
      <c r="L11" s="57"/>
      <c r="M11" s="62">
        <v>45670.0</v>
      </c>
      <c r="N11" s="20" t="s">
        <v>232</v>
      </c>
    </row>
    <row r="12">
      <c r="A12" s="23">
        <v>11.0</v>
      </c>
      <c r="B12" s="23">
        <v>1.0</v>
      </c>
      <c r="C12" s="10" t="s">
        <v>87</v>
      </c>
      <c r="D12" s="10" t="s">
        <v>88</v>
      </c>
      <c r="F12" s="20" t="s">
        <v>36</v>
      </c>
      <c r="G12" s="82" t="s">
        <v>89</v>
      </c>
      <c r="H12" s="20" t="s">
        <v>36</v>
      </c>
      <c r="I12" s="83"/>
      <c r="J12" s="58">
        <v>0.15</v>
      </c>
      <c r="K12" s="58">
        <v>0.15</v>
      </c>
      <c r="L12" s="83"/>
      <c r="M12" s="57"/>
      <c r="N12" s="20" t="s">
        <v>250</v>
      </c>
    </row>
    <row r="13">
      <c r="A13" s="23">
        <v>12.0</v>
      </c>
      <c r="B13" s="23">
        <v>2.0</v>
      </c>
      <c r="C13" s="10" t="s">
        <v>233</v>
      </c>
      <c r="D13" s="10" t="s">
        <v>91</v>
      </c>
      <c r="F13" s="20" t="s">
        <v>36</v>
      </c>
      <c r="G13" s="20" t="s">
        <v>92</v>
      </c>
      <c r="H13" s="20" t="s">
        <v>36</v>
      </c>
      <c r="I13" s="57"/>
      <c r="J13" s="58">
        <v>0.35</v>
      </c>
      <c r="K13" s="58">
        <v>0.7</v>
      </c>
      <c r="L13" s="57"/>
      <c r="M13" s="57"/>
      <c r="N13" s="20" t="s">
        <v>199</v>
      </c>
    </row>
    <row r="14">
      <c r="A14" s="12">
        <v>13.0</v>
      </c>
      <c r="B14" s="23">
        <v>2.0</v>
      </c>
      <c r="C14" s="10" t="s">
        <v>234</v>
      </c>
      <c r="D14" s="10" t="s">
        <v>94</v>
      </c>
      <c r="F14" s="20" t="s">
        <v>36</v>
      </c>
      <c r="G14" s="20" t="s">
        <v>95</v>
      </c>
      <c r="H14" s="20" t="s">
        <v>36</v>
      </c>
      <c r="I14" s="57"/>
      <c r="J14" s="57"/>
      <c r="K14" s="57"/>
      <c r="L14" s="57"/>
      <c r="M14" s="57"/>
      <c r="N14" s="20" t="s">
        <v>201</v>
      </c>
    </row>
    <row r="15">
      <c r="A15" s="23">
        <v>14.0</v>
      </c>
      <c r="B15" s="23">
        <v>1.0</v>
      </c>
      <c r="C15" s="10" t="s">
        <v>235</v>
      </c>
      <c r="D15" s="10" t="s">
        <v>102</v>
      </c>
      <c r="F15" s="20" t="s">
        <v>36</v>
      </c>
      <c r="G15" s="20" t="s">
        <v>103</v>
      </c>
      <c r="H15" s="20" t="s">
        <v>36</v>
      </c>
      <c r="I15" s="57"/>
      <c r="J15" s="57"/>
      <c r="K15" s="57"/>
      <c r="L15" s="57"/>
      <c r="M15" s="57"/>
      <c r="N15" s="20" t="s">
        <v>203</v>
      </c>
    </row>
    <row r="16">
      <c r="A16" s="23">
        <v>15.0</v>
      </c>
      <c r="B16" s="23">
        <v>1.0</v>
      </c>
      <c r="C16" s="10" t="s">
        <v>236</v>
      </c>
      <c r="D16" s="10" t="s">
        <v>105</v>
      </c>
      <c r="E16" s="20" t="s">
        <v>106</v>
      </c>
      <c r="F16" s="20" t="s">
        <v>107</v>
      </c>
      <c r="G16" s="63" t="s">
        <v>108</v>
      </c>
      <c r="H16" s="20" t="s">
        <v>31</v>
      </c>
      <c r="I16" s="20" t="s">
        <v>109</v>
      </c>
      <c r="J16" s="58">
        <v>2.99</v>
      </c>
      <c r="K16" s="58">
        <v>2.99</v>
      </c>
      <c r="L16" s="57"/>
      <c r="M16" s="64">
        <v>45678.0</v>
      </c>
      <c r="N16" s="20" t="s">
        <v>205</v>
      </c>
    </row>
    <row r="17">
      <c r="A17" s="23">
        <v>16.0</v>
      </c>
      <c r="B17" s="23">
        <v>4.0</v>
      </c>
      <c r="C17" s="10" t="s">
        <v>122</v>
      </c>
    </row>
    <row r="18">
      <c r="A18" s="23">
        <v>17.0</v>
      </c>
      <c r="B18" s="23">
        <v>4.0</v>
      </c>
      <c r="C18" s="10" t="s">
        <v>126</v>
      </c>
    </row>
    <row r="19">
      <c r="A19" s="23">
        <v>18.0</v>
      </c>
      <c r="B19" s="23">
        <v>4.0</v>
      </c>
      <c r="C19" s="10" t="s">
        <v>129</v>
      </c>
    </row>
    <row r="20">
      <c r="A20" s="23">
        <v>19.0</v>
      </c>
      <c r="B20" s="23">
        <v>8.0</v>
      </c>
      <c r="C20" s="10" t="s">
        <v>135</v>
      </c>
    </row>
    <row r="21">
      <c r="A21" s="9"/>
      <c r="B21" s="9"/>
    </row>
    <row r="22">
      <c r="A22" s="67">
        <v>45658.0</v>
      </c>
      <c r="B22" s="23">
        <v>1.0</v>
      </c>
      <c r="C22" s="10" t="s">
        <v>251</v>
      </c>
    </row>
    <row r="23">
      <c r="A23" s="67">
        <v>45689.0</v>
      </c>
      <c r="B23" s="23">
        <v>1.0</v>
      </c>
      <c r="C23" s="10" t="s">
        <v>155</v>
      </c>
      <c r="D23" s="10" t="s">
        <v>156</v>
      </c>
      <c r="E23" s="10" t="s">
        <v>157</v>
      </c>
      <c r="F23" s="20" t="s">
        <v>36</v>
      </c>
      <c r="G23" s="20" t="s">
        <v>158</v>
      </c>
      <c r="H23" s="20" t="s">
        <v>31</v>
      </c>
      <c r="I23" s="65" t="s">
        <v>159</v>
      </c>
    </row>
    <row r="24">
      <c r="A24" s="67">
        <v>45717.0</v>
      </c>
      <c r="B24" s="23">
        <v>1.0</v>
      </c>
      <c r="C24" s="10" t="s">
        <v>167</v>
      </c>
    </row>
    <row r="25">
      <c r="A25" s="67">
        <v>45718.0</v>
      </c>
      <c r="B25" s="23">
        <v>4.0</v>
      </c>
      <c r="C25" s="10" t="s">
        <v>168</v>
      </c>
    </row>
    <row r="26">
      <c r="A26" s="67">
        <v>45748.0</v>
      </c>
      <c r="B26" s="23">
        <v>1.0</v>
      </c>
      <c r="C26" s="10" t="s">
        <v>252</v>
      </c>
      <c r="D26" s="10" t="s">
        <v>170</v>
      </c>
      <c r="F26" s="20" t="s">
        <v>36</v>
      </c>
      <c r="G26" s="20" t="s">
        <v>171</v>
      </c>
      <c r="H26" s="20" t="s">
        <v>36</v>
      </c>
      <c r="I26" s="57"/>
      <c r="J26" s="58">
        <v>2.02</v>
      </c>
      <c r="K26" s="58">
        <v>2.02</v>
      </c>
      <c r="L26" s="57"/>
      <c r="M26" s="57"/>
      <c r="N26" s="20" t="s">
        <v>229</v>
      </c>
    </row>
    <row r="27">
      <c r="A27" s="67">
        <v>45778.0</v>
      </c>
      <c r="B27" s="23">
        <v>1.0</v>
      </c>
      <c r="C27" s="10" t="s">
        <v>172</v>
      </c>
      <c r="D27" s="10" t="s">
        <v>173</v>
      </c>
      <c r="F27" s="20" t="s">
        <v>29</v>
      </c>
      <c r="G27" s="68">
        <v>5.106505E8</v>
      </c>
      <c r="H27" s="20" t="s">
        <v>31</v>
      </c>
      <c r="I27" s="20" t="s">
        <v>174</v>
      </c>
    </row>
    <row r="28">
      <c r="A28" s="67">
        <v>45779.0</v>
      </c>
      <c r="B28" s="23">
        <v>1.0</v>
      </c>
      <c r="C28" s="10" t="s">
        <v>175</v>
      </c>
      <c r="D28" s="10" t="s">
        <v>149</v>
      </c>
      <c r="F28" s="20" t="s">
        <v>29</v>
      </c>
      <c r="G28" s="20" t="s">
        <v>176</v>
      </c>
      <c r="H28" s="20" t="s">
        <v>31</v>
      </c>
      <c r="I28" s="20" t="s">
        <v>177</v>
      </c>
    </row>
    <row r="29">
      <c r="A29" s="67">
        <v>45780.0</v>
      </c>
      <c r="B29" s="23">
        <v>1.0</v>
      </c>
      <c r="C29" s="10" t="s">
        <v>175</v>
      </c>
      <c r="D29" s="10" t="s">
        <v>178</v>
      </c>
      <c r="F29" s="20" t="s">
        <v>29</v>
      </c>
      <c r="G29" s="20" t="s">
        <v>179</v>
      </c>
      <c r="H29" s="20" t="s">
        <v>31</v>
      </c>
      <c r="I29" s="20" t="s">
        <v>180</v>
      </c>
    </row>
    <row r="30">
      <c r="A30" s="67">
        <v>45781.0</v>
      </c>
      <c r="B30" s="23">
        <v>1.0</v>
      </c>
      <c r="C30" s="10" t="s">
        <v>175</v>
      </c>
      <c r="D30" s="10" t="s">
        <v>145</v>
      </c>
      <c r="F30" s="20" t="s">
        <v>29</v>
      </c>
      <c r="G30" s="20" t="s">
        <v>181</v>
      </c>
      <c r="H30" s="20" t="s">
        <v>31</v>
      </c>
      <c r="I30" s="20" t="s">
        <v>182</v>
      </c>
    </row>
    <row r="31">
      <c r="A31" s="67">
        <v>45782.0</v>
      </c>
      <c r="B31" s="23">
        <v>1.0</v>
      </c>
      <c r="C31" s="10" t="s">
        <v>175</v>
      </c>
      <c r="D31" s="10" t="s">
        <v>142</v>
      </c>
      <c r="F31" s="20" t="s">
        <v>29</v>
      </c>
      <c r="G31" s="20" t="s">
        <v>183</v>
      </c>
      <c r="H31" s="20" t="s">
        <v>31</v>
      </c>
      <c r="I31" s="20" t="s">
        <v>184</v>
      </c>
    </row>
    <row r="32">
      <c r="A32" s="67">
        <v>45783.0</v>
      </c>
      <c r="B32" s="23">
        <v>1.0</v>
      </c>
      <c r="C32" s="10" t="s">
        <v>175</v>
      </c>
      <c r="D32" s="10" t="s">
        <v>185</v>
      </c>
      <c r="F32" s="20" t="s">
        <v>29</v>
      </c>
      <c r="G32" s="20" t="s">
        <v>186</v>
      </c>
      <c r="H32" s="20" t="s">
        <v>31</v>
      </c>
      <c r="I32" s="20" t="s">
        <v>187</v>
      </c>
    </row>
    <row r="33">
      <c r="A33" s="9"/>
      <c r="B33" s="9"/>
    </row>
    <row r="34">
      <c r="A34" s="9"/>
      <c r="B34" s="9"/>
    </row>
    <row r="35">
      <c r="A35" s="9"/>
      <c r="B35" s="9"/>
    </row>
    <row r="36">
      <c r="A36" s="84"/>
      <c r="B36" s="84"/>
      <c r="C36" s="43"/>
      <c r="D36" s="43"/>
      <c r="E36" s="43"/>
    </row>
    <row r="37">
      <c r="A37" s="43"/>
      <c r="B37" s="43"/>
      <c r="C37" s="47"/>
      <c r="D37" s="43"/>
      <c r="E37" s="43"/>
    </row>
    <row r="39" ht="10.5" customHeight="1">
      <c r="A39" s="8"/>
      <c r="B39" s="8"/>
      <c r="C39" s="8"/>
      <c r="D39" s="8"/>
      <c r="E39" s="8"/>
      <c r="F39" s="8"/>
      <c r="G39" s="8"/>
      <c r="H39" s="8"/>
      <c r="I39" s="8"/>
      <c r="J39" s="8"/>
      <c r="K39" s="8"/>
      <c r="L39" s="8"/>
      <c r="M39" s="8"/>
      <c r="N39" s="8"/>
      <c r="O39" s="8"/>
      <c r="P39" s="8"/>
      <c r="Q39" s="8"/>
      <c r="R39" s="8"/>
      <c r="S39" s="8"/>
      <c r="T39" s="8"/>
      <c r="U39" s="8"/>
      <c r="V39" s="8"/>
      <c r="W39" s="8"/>
      <c r="X39" s="8"/>
      <c r="Y39" s="8"/>
      <c r="Z39" s="8"/>
    </row>
    <row r="41" ht="23.25" customHeight="1">
      <c r="A41" s="75" t="s">
        <v>238</v>
      </c>
      <c r="D41" s="76"/>
      <c r="E41" s="76"/>
      <c r="F41" s="76"/>
      <c r="G41" s="77"/>
      <c r="H41" s="77"/>
      <c r="I41" s="77"/>
      <c r="J41" s="77"/>
      <c r="K41" s="77"/>
      <c r="L41" s="77"/>
      <c r="M41" s="77"/>
      <c r="N41" s="76"/>
      <c r="O41" s="78"/>
      <c r="P41" s="78"/>
      <c r="Q41" s="78"/>
      <c r="R41" s="78"/>
      <c r="S41" s="78"/>
      <c r="T41" s="78"/>
      <c r="U41" s="78"/>
      <c r="V41" s="78"/>
      <c r="W41" s="78"/>
      <c r="X41" s="78"/>
      <c r="Y41" s="78"/>
      <c r="Z41" s="78"/>
    </row>
    <row r="42">
      <c r="A42" s="12"/>
      <c r="B42" s="12">
        <v>1.0</v>
      </c>
      <c r="C42" s="72" t="s">
        <v>239</v>
      </c>
      <c r="D42" s="20" t="s">
        <v>240</v>
      </c>
      <c r="E42" s="79"/>
      <c r="F42" s="79"/>
      <c r="G42" s="79"/>
      <c r="H42" s="79"/>
      <c r="I42" s="79"/>
      <c r="J42" s="80"/>
      <c r="K42" s="80"/>
      <c r="L42" s="57"/>
      <c r="M42" s="57"/>
      <c r="N42" s="20" t="s">
        <v>241</v>
      </c>
    </row>
    <row r="43">
      <c r="A43" s="12"/>
      <c r="B43" s="12">
        <v>8.0</v>
      </c>
      <c r="C43" s="72" t="s">
        <v>242</v>
      </c>
      <c r="D43" s="20" t="s">
        <v>243</v>
      </c>
      <c r="E43" s="79"/>
      <c r="F43" s="79"/>
      <c r="G43" s="79"/>
      <c r="H43" s="79"/>
      <c r="I43" s="79"/>
      <c r="J43" s="80"/>
      <c r="K43" s="80"/>
      <c r="L43" s="57"/>
      <c r="M43" s="57"/>
      <c r="N43" s="20" t="s">
        <v>244</v>
      </c>
    </row>
    <row r="44">
      <c r="A44" s="12"/>
      <c r="B44" s="71">
        <v>0.0</v>
      </c>
      <c r="C44" s="72" t="s">
        <v>211</v>
      </c>
      <c r="D44" s="20" t="s">
        <v>212</v>
      </c>
      <c r="E44" s="20" t="s">
        <v>213</v>
      </c>
      <c r="F44" s="20" t="s">
        <v>66</v>
      </c>
      <c r="G44" s="20" t="s">
        <v>214</v>
      </c>
      <c r="H44" s="20" t="s">
        <v>31</v>
      </c>
      <c r="I44" s="20" t="s">
        <v>215</v>
      </c>
      <c r="J44" s="58"/>
      <c r="K44" s="58"/>
      <c r="L44" s="57"/>
      <c r="M44" s="57"/>
      <c r="N44" s="20" t="s">
        <v>216</v>
      </c>
    </row>
    <row r="45">
      <c r="A45" s="12"/>
      <c r="B45" s="12">
        <v>4.0</v>
      </c>
      <c r="C45" s="72" t="s">
        <v>245</v>
      </c>
      <c r="D45" s="20" t="s">
        <v>45</v>
      </c>
      <c r="E45" s="57"/>
      <c r="F45" s="20" t="s">
        <v>36</v>
      </c>
      <c r="G45" s="20" t="s">
        <v>46</v>
      </c>
      <c r="H45" s="20" t="s">
        <v>36</v>
      </c>
      <c r="I45" s="57"/>
      <c r="J45" s="79"/>
      <c r="K45" s="79"/>
      <c r="L45" s="57"/>
      <c r="M45" s="57"/>
      <c r="N45" s="20" t="s">
        <v>196</v>
      </c>
    </row>
  </sheetData>
  <mergeCells count="1">
    <mergeCell ref="A41:C41"/>
  </mergeCells>
  <drawing r:id="rId2"/>
  <legacyDrawing r:id="rId3"/>
</worksheet>
</file>